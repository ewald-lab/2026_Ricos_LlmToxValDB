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oxValDB9\Repo\release_files\v9_7_0\ToxValDB v97_0 Release\Documentation\"/>
    </mc:Choice>
  </mc:AlternateContent>
  <xr:revisionPtr revIDLastSave="0" documentId="13_ncr:1_{6DBEC34C-78A3-4E6A-A423-3BF8104E01E3}" xr6:coauthVersionLast="47" xr6:coauthVersionMax="47" xr10:uidLastSave="{00000000-0000-0000-0000-000000000000}"/>
  <bookViews>
    <workbookView xWindow="-120" yWindow="-120" windowWidth="29040" windowHeight="15720" xr2:uid="{ED068C9A-9332-4706-A295-161CB95248C4}"/>
  </bookViews>
  <sheets>
    <sheet name="toxvaldb" sheetId="1" r:id="rId1"/>
    <sheet name="cancer_summary" sheetId="7" r:id="rId2"/>
    <sheet name="genetox_details" sheetId="4" r:id="rId3"/>
    <sheet name="genetox_summary" sheetId="5" r:id="rId4"/>
    <sheet name="skin_eye" sheetId="6" r:id="rId5"/>
    <sheet name="r_record_source" sheetId="8" r:id="rId6"/>
    <sheet name="species" sheetId="9" r:id="rId7"/>
    <sheet name="ToxVal Type Acronyms" sheetId="3" r:id="rId8"/>
    <sheet name="General Acronyms" sheetId="2" r:id="rId9"/>
  </sheets>
  <definedNames>
    <definedName name="_xlnm._FilterDatabase" localSheetId="0" hidden="1">toxvaldb!$A$1:$C$70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15" i="1"/>
  <c r="F43" i="1"/>
  <c r="F12" i="1"/>
  <c r="F13" i="1"/>
  <c r="F14" i="1"/>
  <c r="F16" i="1"/>
  <c r="F17" i="1"/>
  <c r="F18" i="1"/>
  <c r="F19" i="1"/>
  <c r="F21" i="1"/>
  <c r="F22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40" i="1"/>
  <c r="F41" i="1"/>
  <c r="F42" i="1"/>
  <c r="F45" i="1"/>
  <c r="F46" i="1"/>
  <c r="F47" i="1"/>
  <c r="F48" i="1"/>
  <c r="F49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3" i="1"/>
  <c r="F4" i="1"/>
  <c r="F5" i="1"/>
  <c r="F7" i="1"/>
  <c r="F9" i="1"/>
  <c r="F10" i="1"/>
  <c r="F2" i="1"/>
</calcChain>
</file>

<file path=xl/sharedStrings.xml><?xml version="1.0" encoding="utf-8"?>
<sst xmlns="http://schemas.openxmlformats.org/spreadsheetml/2006/main" count="864" uniqueCount="541">
  <si>
    <t>DTXSID</t>
  </si>
  <si>
    <t>CASRN</t>
  </si>
  <si>
    <t>NAME</t>
  </si>
  <si>
    <t>SOURCE</t>
  </si>
  <si>
    <t>SUB_SOURCE</t>
  </si>
  <si>
    <t>TOXVAL_TYPE</t>
  </si>
  <si>
    <t>TOXVAL_SUBTYPE</t>
  </si>
  <si>
    <t>TOXVAL_TYPE_SUPERCATEGORY</t>
  </si>
  <si>
    <t>QUALIFIER</t>
  </si>
  <si>
    <t>TOXVAL_NUMERIC</t>
  </si>
  <si>
    <t>TOXVAL_UNITS</t>
  </si>
  <si>
    <t>RISK_ASSESSMENT_CLASS</t>
  </si>
  <si>
    <t>STUDY_TYPE</t>
  </si>
  <si>
    <t>STUDY_DURATION_CLASS</t>
  </si>
  <si>
    <t>STUDY_DURATION_VALUE</t>
  </si>
  <si>
    <t>STUDY_DURATION_UNITS</t>
  </si>
  <si>
    <t>SPECIES_COMMON</t>
  </si>
  <si>
    <t>STRAIN</t>
  </si>
  <si>
    <t>LATIN_NAME</t>
  </si>
  <si>
    <t>SPECIES_SUPERCATEGORY</t>
  </si>
  <si>
    <t>SEX</t>
  </si>
  <si>
    <t>GENERATION</t>
  </si>
  <si>
    <t>LIFESTAGE</t>
  </si>
  <si>
    <t>EXPOSURE_ROUTE</t>
  </si>
  <si>
    <t>EXPOSURE_METHOD</t>
  </si>
  <si>
    <t>EXPOSURE_FORM</t>
  </si>
  <si>
    <t>MEDIA</t>
  </si>
  <si>
    <t>EXPERIMENTAL_RECORD</t>
  </si>
  <si>
    <t>STUDY_GROUP</t>
  </si>
  <si>
    <t>LONG_REF</t>
  </si>
  <si>
    <t>DOI</t>
  </si>
  <si>
    <t>TITLE</t>
  </si>
  <si>
    <t>AUTHOR</t>
  </si>
  <si>
    <t>YEAR</t>
  </si>
  <si>
    <t>GUIDELINE</t>
  </si>
  <si>
    <t>QUALITY</t>
  </si>
  <si>
    <t>QC_CATEGORY</t>
  </si>
  <si>
    <t>SOURCE_HASH</t>
  </si>
  <si>
    <t>EXTERNAL_SOURCE_ID</t>
  </si>
  <si>
    <t>EXTERNAL_SOURCE_ID_DESC</t>
  </si>
  <si>
    <t>SOURCE_URL</t>
  </si>
  <si>
    <t>SUBSOURCE_URL</t>
  </si>
  <si>
    <t>STORED_SOURCE_RECORD</t>
  </si>
  <si>
    <t>TOXVAL_TYPE_ORIGINAL</t>
  </si>
  <si>
    <t>TOXVAL_SUBTYPE_ORIGINAL</t>
  </si>
  <si>
    <t>TOXVAL_NUMERIC_ORIGINAL</t>
  </si>
  <si>
    <t>TOXVAL_UNITS_ORIGINAL</t>
  </si>
  <si>
    <t>STUDY_TYPE_ORIGINAL</t>
  </si>
  <si>
    <t>STUDY_DURATION_CLASS_ORIGINAL</t>
  </si>
  <si>
    <t>STUDY_DURATION_VALUE_ORIGINAL</t>
  </si>
  <si>
    <t>STUDY_DURATION_UNITS_ORIGINAL</t>
  </si>
  <si>
    <t>SPECIES_ORIGINAL</t>
  </si>
  <si>
    <t>STRAIN_ORIGINAL</t>
  </si>
  <si>
    <t>SEX_ORIGINAL</t>
  </si>
  <si>
    <t>GENERATION_ORIGINAL</t>
  </si>
  <si>
    <t>LIFESTAGE_ORIGINAL</t>
  </si>
  <si>
    <t>EXPOSURE_ROUTE_ORIGINAL</t>
  </si>
  <si>
    <t>EXPOSURE_METHOD_ORIGINAL</t>
  </si>
  <si>
    <t>EXPOSURE_FORM_ORIGINAL</t>
  </si>
  <si>
    <t>MEDIA_ORIGINAL</t>
  </si>
  <si>
    <t>ORIGINAL_YEAR</t>
  </si>
  <si>
    <t>order</t>
  </si>
  <si>
    <t>DSSTox preferred chemical name</t>
  </si>
  <si>
    <t>A group of records within a source that are from the same study, based on study parameters like chemical identifiers, study type, exposure, study duration, and reference information</t>
  </si>
  <si>
    <t>Long form of the reference</t>
  </si>
  <si>
    <t>The reference Digital Object Identifier</t>
  </si>
  <si>
    <t>Report title</t>
  </si>
  <si>
    <t>Author list of the report</t>
  </si>
  <si>
    <t>Report year</t>
  </si>
  <si>
    <t>URL for the source</t>
  </si>
  <si>
    <t>URL for the subsource</t>
  </si>
  <si>
    <t>Clowder document link</t>
  </si>
  <si>
    <t>Original value from toxval_source reported by the data source</t>
  </si>
  <si>
    <t>The year in which the observation was made</t>
  </si>
  <si>
    <t>Unique identifier for a record based on select record field values</t>
  </si>
  <si>
    <t>Data source provided identifier</t>
  </si>
  <si>
    <t>Name or description of data source provided identifier (e.g., PMID, HERO ID, etc.)</t>
  </si>
  <si>
    <t>Study guideline reported by the data source for the record</t>
  </si>
  <si>
    <t>Data quality flags/identifiers noted by the data source (where provided)</t>
  </si>
  <si>
    <t>Units of the numeric value</t>
  </si>
  <si>
    <t>Numeric value of the record, corresponding to the toxval_type</t>
  </si>
  <si>
    <t>Originator of source data</t>
  </si>
  <si>
    <t>Originator subgroup of source data</t>
  </si>
  <si>
    <t>Effect level type</t>
  </si>
  <si>
    <t>Effect level subtype</t>
  </si>
  <si>
    <t>Categorization of effect level type</t>
  </si>
  <si>
    <t>Qualifier on the numeric value</t>
  </si>
  <si>
    <t>=,&gt;,&lt;,&gt;=,&lt;=,-</t>
  </si>
  <si>
    <t>e.g., BMDL, LOAEL, RfD, MRL</t>
  </si>
  <si>
    <t>e.g., screening level</t>
  </si>
  <si>
    <t>Dose Response Summary Value, Mortality Response Summary Value, Toxicity Value, Media Exposure Guidelines, Acute Exposure Guidelines</t>
  </si>
  <si>
    <t>e.g., mg/kg-day, mg/m3</t>
  </si>
  <si>
    <t>e.g., 3.1</t>
  </si>
  <si>
    <t>air, water, soil</t>
  </si>
  <si>
    <t>Study category based on exposure duration</t>
  </si>
  <si>
    <t>e.g., chronic, developmental</t>
  </si>
  <si>
    <t>e.g., EPA IRIS, ATSDR</t>
  </si>
  <si>
    <t>e.g., DTXSID9020112</t>
  </si>
  <si>
    <t>e.g., 1912-24-9</t>
  </si>
  <si>
    <t>e.g., atrazine</t>
  </si>
  <si>
    <t>e.g., water quality data</t>
  </si>
  <si>
    <t>-999 indicates missing/not reported value</t>
  </si>
  <si>
    <t xml:space="preserve">Categorical description of exposure duration </t>
  </si>
  <si>
    <t>e.g., short-term, subchronic, chronic (developmental)</t>
  </si>
  <si>
    <t>developmental shown in parentheses for exposures that occur during gestation or lactation</t>
  </si>
  <si>
    <t>Numeric length of exposure duration</t>
  </si>
  <si>
    <t>e.g., 5</t>
  </si>
  <si>
    <t>Units of the numeric exposure duration</t>
  </si>
  <si>
    <t>e.g., days, weeks</t>
  </si>
  <si>
    <t>e.g., mouse</t>
  </si>
  <si>
    <t xml:space="preserve">e.g., BALB/cJ </t>
  </si>
  <si>
    <t>Common name of the studied species</t>
  </si>
  <si>
    <t>Strain of the studied species</t>
  </si>
  <si>
    <t>e.g., Mus musculus</t>
  </si>
  <si>
    <t>Scientific name of the studied species</t>
  </si>
  <si>
    <t>Species umbrella term</t>
  </si>
  <si>
    <t>e.g., mammal, fish, bird</t>
  </si>
  <si>
    <t>Sex of the studied species</t>
  </si>
  <si>
    <t>e.g., female</t>
  </si>
  <si>
    <t>Generation in which the observation was made</t>
  </si>
  <si>
    <t>e.g., P0, F1</t>
  </si>
  <si>
    <t>Lifestage in which the observation was made</t>
  </si>
  <si>
    <t>e.g., fetal, maternal</t>
  </si>
  <si>
    <t>Exposure route to the test chemical</t>
  </si>
  <si>
    <t>e.g., oral, inhalation, dermal</t>
  </si>
  <si>
    <t>Method through which test chemical exposure occurred</t>
  </si>
  <si>
    <t>e.g., gavage, diet, whole body</t>
  </si>
  <si>
    <t>Form or vehicle of test chemical exposure</t>
  </si>
  <si>
    <t>e.g., particulate, gas, DMSO</t>
  </si>
  <si>
    <t>Treatment-related effect observed within the study group</t>
  </si>
  <si>
    <t>e.g., body weight change</t>
  </si>
  <si>
    <t>A flag of whether the record represents data from an experimental study for the test chemical (as opposed to read-across or surrogate values)</t>
  </si>
  <si>
    <t>Categorization system to qualitatively describe the type of Quality Control (QC) performed for the record. Flags are not hierarchical and are applied at a source and record level.</t>
  </si>
  <si>
    <t>Test chemical vehicle</t>
  </si>
  <si>
    <t>e.g., oil, ethanol</t>
  </si>
  <si>
    <t>Media associated with a toxicity or guideline value</t>
  </si>
  <si>
    <t>field is blank for dose response or mortality summary values</t>
  </si>
  <si>
    <t>e.g., not experimental, undetermined, experimental, epidemiological, clinical</t>
  </si>
  <si>
    <t>TOXICOLOGICAL_EFFECT</t>
  </si>
  <si>
    <t>TOXICOLOGICAL_EFFECT_ORIGINAL</t>
  </si>
  <si>
    <t>Formerly "critical_effect_original"</t>
  </si>
  <si>
    <t>Formerly "critical_effect"</t>
  </si>
  <si>
    <t>API </t>
  </si>
  <si>
    <t>Application Programming Interface </t>
  </si>
  <si>
    <t>CAS </t>
  </si>
  <si>
    <t>Chemical Abstracts Service Registry Number </t>
  </si>
  <si>
    <t>DOI </t>
  </si>
  <si>
    <t>Digital Object Identifier </t>
  </si>
  <si>
    <t>HERO </t>
  </si>
  <si>
    <t>Health &amp; Environmental Research Online </t>
  </si>
  <si>
    <t>LAN ID </t>
  </si>
  <si>
    <t>Local Area Network Identification </t>
  </si>
  <si>
    <t>NIH </t>
  </si>
  <si>
    <t>National Institute of Health </t>
  </si>
  <si>
    <t>PDF </t>
  </si>
  <si>
    <t>Portable Document Format </t>
  </si>
  <si>
    <t>PFAS </t>
  </si>
  <si>
    <t>Per- and Polyfluoroalkyl Substances </t>
  </si>
  <si>
    <t>PI </t>
  </si>
  <si>
    <t>Principal Investigator </t>
  </si>
  <si>
    <t>PMID </t>
  </si>
  <si>
    <t>PubMed ID </t>
  </si>
  <si>
    <t>PNG </t>
  </si>
  <si>
    <t>Portable Network Graphics </t>
  </si>
  <si>
    <t>QA </t>
  </si>
  <si>
    <t>Quality Assurance </t>
  </si>
  <si>
    <t>QC </t>
  </si>
  <si>
    <t>Quality Control </t>
  </si>
  <si>
    <t>ToxValDB </t>
  </si>
  <si>
    <t>Toxicological Values Database </t>
  </si>
  <si>
    <t>URL </t>
  </si>
  <si>
    <t>Uniform Resource Locator (Internet websites) </t>
  </si>
  <si>
    <t>XLSX </t>
  </si>
  <si>
    <t>Microsoft Excel Open XML Spreadsheet (file type/extension) </t>
  </si>
  <si>
    <t>Abbreviation</t>
  </si>
  <si>
    <t>Definition</t>
  </si>
  <si>
    <t>Field Name</t>
  </si>
  <si>
    <t>Short Description</t>
  </si>
  <si>
    <t>Examples</t>
  </si>
  <si>
    <t>Notes</t>
  </si>
  <si>
    <t>toxval_type</t>
  </si>
  <si>
    <t>ADI</t>
  </si>
  <si>
    <t>Acceptable Daily Intake</t>
  </si>
  <si>
    <t>AEGL</t>
  </si>
  <si>
    <t>Acute Exposure Guideline Level</t>
  </si>
  <si>
    <t>AEL</t>
  </si>
  <si>
    <t>Adverse Effect Level</t>
  </si>
  <si>
    <t>ALB</t>
  </si>
  <si>
    <t>Aquatic Life Benchmarks</t>
  </si>
  <si>
    <t>BMC</t>
  </si>
  <si>
    <t>Benchmark Concentration</t>
  </si>
  <si>
    <t>BMCL</t>
  </si>
  <si>
    <t>Benchmark Concentration Lower Confidence Limit</t>
  </si>
  <si>
    <t>BMD</t>
  </si>
  <si>
    <t>Benchmark Dose</t>
  </si>
  <si>
    <t>BMDL</t>
  </si>
  <si>
    <t>Benchmark Dose Lower Confidence Limit</t>
  </si>
  <si>
    <t>CCC</t>
  </si>
  <si>
    <t>Criterion Continuous Concentration</t>
  </si>
  <si>
    <t>CMC</t>
  </si>
  <si>
    <t>Criterion Maximum Concentration</t>
  </si>
  <si>
    <t>DNEL</t>
  </si>
  <si>
    <t>Derived No Effect Level</t>
  </si>
  <si>
    <t>DWEL</t>
  </si>
  <si>
    <t>Drinking Water Equivalent Level</t>
  </si>
  <si>
    <t>ER50</t>
  </si>
  <si>
    <t>Effective Residue Level 50%</t>
  </si>
  <si>
    <t>ESL</t>
  </si>
  <si>
    <t>Ecological Screening Level</t>
  </si>
  <si>
    <t>HEC</t>
  </si>
  <si>
    <t>Human Equivalent Concentration</t>
  </si>
  <si>
    <t>HED</t>
  </si>
  <si>
    <t>Human Equivalent Dose</t>
  </si>
  <si>
    <t>HHBP</t>
  </si>
  <si>
    <t>Human Health Benchmark for Pesticides</t>
  </si>
  <si>
    <t>IDLH</t>
  </si>
  <si>
    <t>Immediately Dangerous to Life or Health</t>
  </si>
  <si>
    <t>IUR</t>
  </si>
  <si>
    <t>Inhalation Unit Risk</t>
  </si>
  <si>
    <t>LCL</t>
  </si>
  <si>
    <t>Lower Confidence Limit</t>
  </si>
  <si>
    <t>LOAEL</t>
  </si>
  <si>
    <t>Lowest Observed Adverse Effect Level</t>
  </si>
  <si>
    <t>MADL</t>
  </si>
  <si>
    <t>Madimum Allowable Dose Level</t>
  </si>
  <si>
    <t>MCL</t>
  </si>
  <si>
    <t>Maximum Contaminant Level</t>
  </si>
  <si>
    <t>MCLG</t>
  </si>
  <si>
    <t>Maximum Contaminant Level Goal</t>
  </si>
  <si>
    <t>MEG</t>
  </si>
  <si>
    <t>Military Exposure Guideline</t>
  </si>
  <si>
    <t>MMCL</t>
  </si>
  <si>
    <t>Massachusetts Maximum Contaminant Levels</t>
  </si>
  <si>
    <t>MRDL</t>
  </si>
  <si>
    <t>Maxiumum Residual Disinfectant Level</t>
  </si>
  <si>
    <t>MRL</t>
  </si>
  <si>
    <t>Minimal Risk Level</t>
  </si>
  <si>
    <t>NOAEL</t>
  </si>
  <si>
    <t>No Observed Adverse Effect Level</t>
  </si>
  <si>
    <t>NOEL</t>
  </si>
  <si>
    <t>No Observed Effect Level</t>
  </si>
  <si>
    <t>NSRL</t>
  </si>
  <si>
    <t>No Significant Risk Level</t>
  </si>
  <si>
    <t>OEHHA MADL</t>
  </si>
  <si>
    <t>California Office of Environmental Health Hazard Assessment Maximum Allowable Dose Level</t>
  </si>
  <si>
    <t>OEHHA NSRL</t>
  </si>
  <si>
    <t>California Office of Environmental Health Hazard Assessment No Significant Risk Level</t>
  </si>
  <si>
    <t>OEHHA PHG</t>
  </si>
  <si>
    <t>California Office of Environmental Health Hazard Assessment Public Health Goal</t>
  </si>
  <si>
    <t>ORSG</t>
  </si>
  <si>
    <t>MassDEP Office of Research and Standards Guidelines</t>
  </si>
  <si>
    <t>OSF</t>
  </si>
  <si>
    <t>Oral Slope Factor</t>
  </si>
  <si>
    <t>PAC</t>
  </si>
  <si>
    <t>Protective Action Criteria</t>
  </si>
  <si>
    <t>PAD</t>
  </si>
  <si>
    <t>Population Adjusted Dose</t>
  </si>
  <si>
    <t>PHG</t>
  </si>
  <si>
    <t>Public Health Goal</t>
  </si>
  <si>
    <t>PMTDI</t>
  </si>
  <si>
    <t>Provisional Maximum Tolerable Daily Intake</t>
  </si>
  <si>
    <t>POD</t>
  </si>
  <si>
    <t>Point of Departure</t>
  </si>
  <si>
    <t>PTDI</t>
  </si>
  <si>
    <t>Provisional Tolerable Daily Intake</t>
  </si>
  <si>
    <t>PTMI</t>
  </si>
  <si>
    <t>Provisional Tolerable Monthly Intake</t>
  </si>
  <si>
    <t>PTWI</t>
  </si>
  <si>
    <t>Provisional Tolerable Weekly Intake</t>
  </si>
  <si>
    <t>RDA</t>
  </si>
  <si>
    <t>Recommended Dietary Allowance</t>
  </si>
  <si>
    <t>RfC</t>
  </si>
  <si>
    <t>Reference Concentration</t>
  </si>
  <si>
    <t>RfD</t>
  </si>
  <si>
    <t>Reference Dose</t>
  </si>
  <si>
    <t>RPF</t>
  </si>
  <si>
    <t>Relative Potency Factor</t>
  </si>
  <si>
    <t>SMCL</t>
  </si>
  <si>
    <t>Secondary Maximum Contaminant Levels</t>
  </si>
  <si>
    <t>SSL</t>
  </si>
  <si>
    <t>Soil Screening Level</t>
  </si>
  <si>
    <t>TAD</t>
  </si>
  <si>
    <t>Total Administered Dose</t>
  </si>
  <si>
    <t>TDI</t>
  </si>
  <si>
    <t>Tolerable Daily Intake</t>
  </si>
  <si>
    <t>THQ</t>
  </si>
  <si>
    <t>Target Hazard Quotient</t>
  </si>
  <si>
    <t>TR</t>
  </si>
  <si>
    <t>Target Risk</t>
  </si>
  <si>
    <t>UCDL</t>
  </si>
  <si>
    <t>urinary cadmium dose lower limit</t>
  </si>
  <si>
    <t>Name</t>
  </si>
  <si>
    <t>db_field_name</t>
  </si>
  <si>
    <t>db_table</t>
  </si>
  <si>
    <t>subsource</t>
  </si>
  <si>
    <t>toxval_numeric_qualifier</t>
  </si>
  <si>
    <t>common_name</t>
  </si>
  <si>
    <t>ecotox_group</t>
  </si>
  <si>
    <t>clowder_doc_id</t>
  </si>
  <si>
    <t>year_original</t>
  </si>
  <si>
    <t>source_chemical</t>
  </si>
  <si>
    <t>toxval</t>
  </si>
  <si>
    <t>toxval_type_dictionary</t>
  </si>
  <si>
    <t>species</t>
  </si>
  <si>
    <t>record_source</t>
  </si>
  <si>
    <t>QC_STATUS</t>
  </si>
  <si>
    <t>e.g., fail: species out of scope</t>
  </si>
  <si>
    <t>The status tag of a record following quality control (QC) checks (programmatic or manual). Default is "undetermined", with records updated to "pass" or "fail" with a failure reason if it fails. Although included for completeness, users are recommended to filter out "fail" records.</t>
  </si>
  <si>
    <t>aggregate_study_type</t>
  </si>
  <si>
    <t>assay_category</t>
  </si>
  <si>
    <t>assay_code</t>
  </si>
  <si>
    <t>assay_outcome</t>
  </si>
  <si>
    <t>assay_potency</t>
  </si>
  <si>
    <t>assay_result</t>
  </si>
  <si>
    <t>assay_result_std</t>
  </si>
  <si>
    <t>assay_type</t>
  </si>
  <si>
    <t>assay_type_simple_aggregate</t>
  </si>
  <si>
    <t>assay_type_standard</t>
  </si>
  <si>
    <t>comment</t>
  </si>
  <si>
    <t>cytotoxicity</t>
  </si>
  <si>
    <t>data_quality</t>
  </si>
  <si>
    <t>document_number</t>
  </si>
  <si>
    <t>document_source</t>
  </si>
  <si>
    <t>dose_response</t>
  </si>
  <si>
    <t>dtxsid</t>
  </si>
  <si>
    <t>duration</t>
  </si>
  <si>
    <t>genetox_details_hash</t>
  </si>
  <si>
    <t>genetox_details_id</t>
  </si>
  <si>
    <t>genetox_details_uuid</t>
  </si>
  <si>
    <t>genetox_note</t>
  </si>
  <si>
    <t>genetox_results</t>
  </si>
  <si>
    <t>metabolic_activation</t>
  </si>
  <si>
    <t>panel_report</t>
  </si>
  <si>
    <t>protocol_era</t>
  </si>
  <si>
    <t>reference</t>
  </si>
  <si>
    <t>reference_url</t>
  </si>
  <si>
    <t>sex</t>
  </si>
  <si>
    <t>smiles_2d_qsar</t>
  </si>
  <si>
    <t>source</t>
  </si>
  <si>
    <t>species_strain</t>
  </si>
  <si>
    <t>strain</t>
  </si>
  <si>
    <t>title</t>
  </si>
  <si>
    <t>year</t>
  </si>
  <si>
    <t>ames</t>
  </si>
  <si>
    <t>genetox_call</t>
  </si>
  <si>
    <t>genetox_summary_id</t>
  </si>
  <si>
    <t>micronucleus</t>
  </si>
  <si>
    <t>reports_neg</t>
  </si>
  <si>
    <t>reports_other</t>
  </si>
  <si>
    <t>reports_pos</t>
  </si>
  <si>
    <t>authority</t>
  </si>
  <si>
    <t>classification</t>
  </si>
  <si>
    <t>endpoint</t>
  </si>
  <si>
    <t>glp</t>
  </si>
  <si>
    <t>guideline</t>
  </si>
  <si>
    <t>record_url</t>
  </si>
  <si>
    <t>reliability</t>
  </si>
  <si>
    <t>result_text</t>
  </si>
  <si>
    <t>score</t>
  </si>
  <si>
    <t>skin_eye_hash</t>
  </si>
  <si>
    <t>skin_eye_id</t>
  </si>
  <si>
    <t>skin_eye_uuid</t>
  </si>
  <si>
    <t>study_type</t>
  </si>
  <si>
    <t>skin_eye</t>
  </si>
  <si>
    <t>genetox_summary</t>
  </si>
  <si>
    <t>genetox_details</t>
  </si>
  <si>
    <t>AGGREGATE_STUDY_TYPE</t>
  </si>
  <si>
    <t>ASSAY_CATEGORY</t>
  </si>
  <si>
    <t>ASSAY_CODE</t>
  </si>
  <si>
    <t>ASSAY_OUTCOME</t>
  </si>
  <si>
    <t>ASSAY_POTENCY</t>
  </si>
  <si>
    <t>ASSAY_RESULT</t>
  </si>
  <si>
    <t>ASSAY_RESULT_STD</t>
  </si>
  <si>
    <t>ASSAY_TYPE</t>
  </si>
  <si>
    <t>ASSAY_TYPE_SIMPLE_AGGREGATE</t>
  </si>
  <si>
    <t>ASSAY_TYPE_STANDARD</t>
  </si>
  <si>
    <t>CLOWDER_DOC_ID</t>
  </si>
  <si>
    <t>COMMENT</t>
  </si>
  <si>
    <t>CYTOTOXICITY</t>
  </si>
  <si>
    <t>DATA_QUALITY</t>
  </si>
  <si>
    <t>DOCUMENT_NUMBER</t>
  </si>
  <si>
    <t>DOCUMENT_SOURCE</t>
  </si>
  <si>
    <t>DOSE_RESPONSE</t>
  </si>
  <si>
    <t>DURATION</t>
  </si>
  <si>
    <t>GENETOX_DETAILS_HASH</t>
  </si>
  <si>
    <t>GENETOX_DETAILS_ID</t>
  </si>
  <si>
    <t>GENETOX_DETAILS_UUID</t>
  </si>
  <si>
    <t>GENETOX_NOTE</t>
  </si>
  <si>
    <t>GENETOX_RESULTS</t>
  </si>
  <si>
    <t>METABOLIC_ACTIVATION</t>
  </si>
  <si>
    <t>PANEL_REPORT</t>
  </si>
  <si>
    <t>PROTOCOL_ERA</t>
  </si>
  <si>
    <t>REFERENCE</t>
  </si>
  <si>
    <t>REFERENCE_URL</t>
  </si>
  <si>
    <t>SMILES_2D_QSAR</t>
  </si>
  <si>
    <t>SPECIES</t>
  </si>
  <si>
    <t>SPECIES_STRAIN</t>
  </si>
  <si>
    <t>AMES</t>
  </si>
  <si>
    <t>GENETOX_CALL</t>
  </si>
  <si>
    <t>GENETOX_SUMMARY_ID</t>
  </si>
  <si>
    <t>MICRONUCLEUS</t>
  </si>
  <si>
    <t>REPORTS_NEG</t>
  </si>
  <si>
    <t>REPORTS_OTHER</t>
  </si>
  <si>
    <t>REPORTS_POS</t>
  </si>
  <si>
    <t>AUTHORITY</t>
  </si>
  <si>
    <t>CLASSIFICATION</t>
  </si>
  <si>
    <t>ENDPOINT</t>
  </si>
  <si>
    <t>GLP</t>
  </si>
  <si>
    <t>RECORD_URL</t>
  </si>
  <si>
    <t>RELIABILITY</t>
  </si>
  <si>
    <t>RESULT_TEXT</t>
  </si>
  <si>
    <t>SCORE</t>
  </si>
  <si>
    <t>SKIN_EYE_HASH</t>
  </si>
  <si>
    <t>SKIN_EYE_ID</t>
  </si>
  <si>
    <t>SKIN_EYE_UUID</t>
  </si>
  <si>
    <t>Standardized assay type mapped to a higher level category (Ames, ivCA, ivtCA, other)</t>
  </si>
  <si>
    <t>Assay category (in vitro, in vivo)</t>
  </si>
  <si>
    <t>Shotrt code for the assay</t>
  </si>
  <si>
    <t>Code for the assay outcome (0=negative, 1=positive, 2=equivocal)</t>
  </si>
  <si>
    <t>not used</t>
  </si>
  <si>
    <t>The source result (positive, negative, equivocal)</t>
  </si>
  <si>
    <t>The final result (positive, negative, ambiguous)</t>
  </si>
  <si>
    <t>The type of assay as defined in the source data</t>
  </si>
  <si>
    <t>Higher level assay type (Ames, clastogen, other)</t>
  </si>
  <si>
    <t>Assay type mapped onto a standard set of names</t>
  </si>
  <si>
    <t>Data quality flag</t>
  </si>
  <si>
    <t>Document number</t>
  </si>
  <si>
    <t>Source of the document</t>
  </si>
  <si>
    <t>Was assay performed in dose response</t>
  </si>
  <si>
    <t>Duration of the test</t>
  </si>
  <si>
    <t>Hash key that is unique for this record</t>
  </si>
  <si>
    <t>Autoincremented database table primary key</t>
  </si>
  <si>
    <t>Unique time-stamped UUID for the record</t>
  </si>
  <si>
    <t>Free texxt note on the result</t>
  </si>
  <si>
    <t>Result of the genotoxicity test</t>
  </si>
  <si>
    <t>Did the experiment include metabolic activation?</t>
  </si>
  <si>
    <t>Overall report fro ma panel of assays</t>
  </si>
  <si>
    <t>Either Pre or Post 1980</t>
  </si>
  <si>
    <t>Journal reference</t>
  </si>
  <si>
    <t>URL for the source data</t>
  </si>
  <si>
    <t>Sex tested</t>
  </si>
  <si>
    <t>2D QSAR-ready SMILES</t>
  </si>
  <si>
    <t>The institution or group that the observation was taken from to insert into toxval</t>
  </si>
  <si>
    <t>Common name of the species</t>
  </si>
  <si>
    <t>The combiens species / strain designation</t>
  </si>
  <si>
    <t>Strain of the species in which the observation was made</t>
  </si>
  <si>
    <t>Optional comment field for the record</t>
  </si>
  <si>
    <t>What is the result of the Ames assay</t>
  </si>
  <si>
    <t>Overall geneotoxicity call</t>
  </si>
  <si>
    <t>Overall call for micronucleus tests</t>
  </si>
  <si>
    <t>Number of genotoxicity-negative reports</t>
  </si>
  <si>
    <t>Number of genotoxicity reports without a positive/negative classification</t>
  </si>
  <si>
    <t>Number of genotoxicity-positive reports</t>
  </si>
  <si>
    <t>What national authority made the call</t>
  </si>
  <si>
    <t>Detailed classification of the result</t>
  </si>
  <si>
    <t>Endpoint reported</t>
  </si>
  <si>
    <t>Is the study GLP?</t>
  </si>
  <si>
    <t>Guideline used for the study</t>
  </si>
  <si>
    <t>Reliability of the result</t>
  </si>
  <si>
    <t>Textual description of the result</t>
  </si>
  <si>
    <t>Information about the type of study in which the observation was created</t>
  </si>
  <si>
    <t>Summary score (L, M, H, VH, NC)</t>
  </si>
  <si>
    <t>DSSTox generic substance ID</t>
  </si>
  <si>
    <t>long_ref</t>
  </si>
  <si>
    <t>author</t>
  </si>
  <si>
    <t>quality</t>
  </si>
  <si>
    <t>doi</t>
  </si>
  <si>
    <t>external_source_id</t>
  </si>
  <si>
    <t>exposure_route</t>
  </si>
  <si>
    <t>cancer_call</t>
  </si>
  <si>
    <t>url</t>
  </si>
  <si>
    <t>CANCER_CALL</t>
  </si>
  <si>
    <t>URL</t>
  </si>
  <si>
    <t>cancer_summary</t>
  </si>
  <si>
    <t>The way in which the study group was exposed to the chemical being studied</t>
  </si>
  <si>
    <t>Overall cancer call</t>
  </si>
  <si>
    <t>Web link to the source</t>
  </si>
  <si>
    <t>external_source_id_desc</t>
  </si>
  <si>
    <t>Chemical Abstracts Service Registry Number</t>
  </si>
  <si>
    <t>species_id</t>
  </si>
  <si>
    <t>habitat</t>
  </si>
  <si>
    <t>family</t>
  </si>
  <si>
    <t>variety</t>
  </si>
  <si>
    <t>subspecies</t>
  </si>
  <si>
    <t>genus</t>
  </si>
  <si>
    <t>tax_order</t>
  </si>
  <si>
    <t>superclass</t>
  </si>
  <si>
    <t>subphylum_div</t>
  </si>
  <si>
    <t>phylum_division</t>
  </si>
  <si>
    <t>kingdom</t>
  </si>
  <si>
    <t>latin_name</t>
  </si>
  <si>
    <t>class</t>
  </si>
  <si>
    <t>SPECIES_ID</t>
  </si>
  <si>
    <t>SPECIES_SCIENTIFIC</t>
  </si>
  <si>
    <t>HABITAT</t>
  </si>
  <si>
    <t>FAMILY</t>
  </si>
  <si>
    <t>ECOTOX_GROUP</t>
  </si>
  <si>
    <t>VARIETY</t>
  </si>
  <si>
    <t>SUBSPECIES</t>
  </si>
  <si>
    <t>GENUS</t>
  </si>
  <si>
    <t>TAX_ORDER</t>
  </si>
  <si>
    <t>SUPERCLASS</t>
  </si>
  <si>
    <t>SUBPHYLUM_DIV</t>
  </si>
  <si>
    <t>PHYLUM_DIVISION</t>
  </si>
  <si>
    <t>KINGDOM</t>
  </si>
  <si>
    <t>COMMON_NAME</t>
  </si>
  <si>
    <t>CLASS</t>
  </si>
  <si>
    <t>TOXVAL_TYPE_DEFN</t>
  </si>
  <si>
    <t>Effect level type definition</t>
  </si>
  <si>
    <t>definition</t>
  </si>
  <si>
    <t>toxval_id</t>
  </si>
  <si>
    <t>Autoincremented database identifier for a unique ToxValDB record</t>
  </si>
  <si>
    <t>TOXVAL_ID</t>
  </si>
  <si>
    <t>record_source_level</t>
  </si>
  <si>
    <t>record_source_type</t>
  </si>
  <si>
    <t>RECORD_SOURCE_LEVEL</t>
  </si>
  <si>
    <t>RECORD_SOURCE_TYPE</t>
  </si>
  <si>
    <t>The level of source document (e.g., primary, secondary, origin)</t>
  </si>
  <si>
    <t>PMID</t>
  </si>
  <si>
    <t>Type of source (websire, journal article, government reports, etc.)</t>
  </si>
  <si>
    <t>URL to the document</t>
  </si>
  <si>
    <t>PubMed unique identifier</t>
  </si>
  <si>
    <t>pmid</t>
  </si>
  <si>
    <t>Habitat category (e.g., terrestrial, aquatic or unknown)</t>
  </si>
  <si>
    <t>Taxonomic category for risk assessment (e.g. mammal, fish, bird)</t>
  </si>
  <si>
    <t>Autogenerated database identifier</t>
  </si>
  <si>
    <t>Currently accepted scientific name (genus, species).</t>
  </si>
  <si>
    <t>Species or taxonomic grouping common name(s).</t>
  </si>
  <si>
    <t>Species Taxonomic Information. Organism classification hierarchy (Kingdom, Phylum/Division, Subphylum, Superclass, Class, Order, Family, Genus, Species, Variety).</t>
  </si>
  <si>
    <t>HUMAN_ECO</t>
  </si>
  <si>
    <t>Flag of "human health" for mammalian species, "eco" otherwise</t>
  </si>
  <si>
    <t>"human health" or "eco"</t>
  </si>
  <si>
    <t>Tag for if the document is where the record was extracted (various) or an additional reference document ("origin")</t>
  </si>
  <si>
    <t>TRV</t>
  </si>
  <si>
    <t>Transcriptomic-based Reference Value</t>
  </si>
  <si>
    <t>CTV</t>
  </si>
  <si>
    <t>Calibrated Toxicity Value</t>
  </si>
  <si>
    <t>TOXICOLOGICAL_EFFECT_CATEGORY</t>
  </si>
  <si>
    <t>e.g., body weight, clinical signs</t>
  </si>
  <si>
    <t>toxicological_effect_terms</t>
  </si>
  <si>
    <t>Categories associated with toxicological effects; based on IPCS/WHO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</si>
</sst>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hero.epa.gov/hero/index.cfm/search/index" TargetMode="External"/><Relationship Id="rId1" Type="http://schemas.openxmlformats.org/officeDocument/2006/relationships/hyperlink" Target="https://www.cas.org/support/documentation/chemical-substances/cas-rn-verified-partner-pro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F5F4-0E5E-457D-AF91-ED448BE5D046}">
  <dimension ref="A1:G70"/>
  <sheetViews>
    <sheetView tabSelected="1" topLeftCell="A25" workbookViewId="0">
      <selection activeCell="E32" sqref="E32"/>
    </sheetView>
  </sheetViews>
  <sheetFormatPr defaultRowHeight="15" x14ac:dyDescent="0.25"/>
  <cols>
    <col min="1" max="1" width="8.140625" style="1" bestFit="1" customWidth="1"/>
    <col min="2" max="2" width="34.140625" style="1" bestFit="1" customWidth="1"/>
    <col min="3" max="3" width="58.42578125" style="1" customWidth="1"/>
    <col min="4" max="4" width="47" style="1" customWidth="1"/>
    <col min="5" max="5" width="25.5703125" style="1" customWidth="1"/>
    <col min="6" max="6" width="28.5703125" style="1" bestFit="1" customWidth="1"/>
    <col min="7" max="7" width="22.140625" style="1" customWidth="1"/>
    <col min="8" max="16384" width="9.140625" style="1"/>
  </cols>
  <sheetData>
    <row r="1" spans="1:7" s="5" customFormat="1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 s="1">
        <v>1</v>
      </c>
      <c r="B2" s="1" t="s">
        <v>0</v>
      </c>
      <c r="C2" s="1" t="s">
        <v>462</v>
      </c>
      <c r="D2" s="1" t="s">
        <v>97</v>
      </c>
      <c r="F2" s="1" t="str">
        <f>LOWER(B2)</f>
        <v>dtxsid</v>
      </c>
      <c r="G2" s="1" t="s">
        <v>300</v>
      </c>
    </row>
    <row r="3" spans="1:7" x14ac:dyDescent="0.25">
      <c r="A3" s="1">
        <v>2</v>
      </c>
      <c r="B3" s="1" t="s">
        <v>1</v>
      </c>
      <c r="C3" s="1" t="s">
        <v>478</v>
      </c>
      <c r="D3" s="1" t="s">
        <v>98</v>
      </c>
      <c r="F3" s="1" t="str">
        <f t="shared" ref="F3:F69" si="0">LOWER(B3)</f>
        <v>casrn</v>
      </c>
      <c r="G3" s="1" t="s">
        <v>300</v>
      </c>
    </row>
    <row r="4" spans="1:7" x14ac:dyDescent="0.25">
      <c r="A4" s="1">
        <v>3</v>
      </c>
      <c r="B4" s="1" t="s">
        <v>2</v>
      </c>
      <c r="C4" s="1" t="s">
        <v>62</v>
      </c>
      <c r="D4" s="1" t="s">
        <v>99</v>
      </c>
      <c r="F4" s="1" t="str">
        <f t="shared" si="0"/>
        <v>name</v>
      </c>
      <c r="G4" s="1" t="s">
        <v>300</v>
      </c>
    </row>
    <row r="5" spans="1:7" x14ac:dyDescent="0.25">
      <c r="A5" s="1">
        <v>4</v>
      </c>
      <c r="B5" s="1" t="s">
        <v>3</v>
      </c>
      <c r="C5" s="1" t="s">
        <v>81</v>
      </c>
      <c r="D5" s="1" t="s">
        <v>96</v>
      </c>
      <c r="F5" s="1" t="str">
        <f t="shared" si="0"/>
        <v>source</v>
      </c>
      <c r="G5" s="1" t="s">
        <v>301</v>
      </c>
    </row>
    <row r="6" spans="1:7" x14ac:dyDescent="0.25">
      <c r="A6" s="1">
        <v>5</v>
      </c>
      <c r="B6" s="1" t="s">
        <v>4</v>
      </c>
      <c r="C6" s="1" t="s">
        <v>82</v>
      </c>
      <c r="D6" s="1" t="s">
        <v>100</v>
      </c>
      <c r="F6" s="1" t="s">
        <v>294</v>
      </c>
      <c r="G6" s="1" t="s">
        <v>301</v>
      </c>
    </row>
    <row r="7" spans="1:7" x14ac:dyDescent="0.25">
      <c r="A7" s="1">
        <v>6</v>
      </c>
      <c r="B7" s="1" t="s">
        <v>5</v>
      </c>
      <c r="C7" s="1" t="s">
        <v>83</v>
      </c>
      <c r="D7" s="1" t="s">
        <v>88</v>
      </c>
      <c r="F7" s="1" t="str">
        <f t="shared" si="0"/>
        <v>toxval_type</v>
      </c>
      <c r="G7" s="1" t="s">
        <v>301</v>
      </c>
    </row>
    <row r="8" spans="1:7" x14ac:dyDescent="0.25">
      <c r="A8" s="1">
        <v>7</v>
      </c>
      <c r="B8" s="1" t="s">
        <v>507</v>
      </c>
      <c r="C8" s="1" t="s">
        <v>508</v>
      </c>
      <c r="F8" s="1" t="s">
        <v>509</v>
      </c>
      <c r="G8" s="1" t="s">
        <v>302</v>
      </c>
    </row>
    <row r="9" spans="1:7" x14ac:dyDescent="0.25">
      <c r="A9" s="1">
        <v>8</v>
      </c>
      <c r="B9" s="1" t="s">
        <v>6</v>
      </c>
      <c r="C9" s="1" t="s">
        <v>84</v>
      </c>
      <c r="D9" s="1" t="s">
        <v>89</v>
      </c>
      <c r="F9" s="1" t="str">
        <f t="shared" si="0"/>
        <v>toxval_subtype</v>
      </c>
      <c r="G9" s="1" t="s">
        <v>301</v>
      </c>
    </row>
    <row r="10" spans="1:7" ht="45" x14ac:dyDescent="0.25">
      <c r="A10" s="1">
        <v>9</v>
      </c>
      <c r="B10" s="1" t="s">
        <v>7</v>
      </c>
      <c r="C10" s="1" t="s">
        <v>85</v>
      </c>
      <c r="D10" s="1" t="s">
        <v>90</v>
      </c>
      <c r="F10" s="1" t="str">
        <f t="shared" si="0"/>
        <v>toxval_type_supercategory</v>
      </c>
      <c r="G10" s="1" t="s">
        <v>302</v>
      </c>
    </row>
    <row r="11" spans="1:7" x14ac:dyDescent="0.25">
      <c r="A11" s="1">
        <v>10</v>
      </c>
      <c r="B11" s="1" t="s">
        <v>8</v>
      </c>
      <c r="C11" s="1" t="s">
        <v>86</v>
      </c>
      <c r="D11" s="2" t="s">
        <v>87</v>
      </c>
      <c r="F11" s="1" t="s">
        <v>295</v>
      </c>
      <c r="G11" s="1" t="s">
        <v>301</v>
      </c>
    </row>
    <row r="12" spans="1:7" x14ac:dyDescent="0.25">
      <c r="A12" s="1">
        <v>11</v>
      </c>
      <c r="B12" s="1" t="s">
        <v>9</v>
      </c>
      <c r="C12" s="1" t="s">
        <v>80</v>
      </c>
      <c r="D12" s="1" t="s">
        <v>92</v>
      </c>
      <c r="F12" s="1" t="str">
        <f t="shared" si="0"/>
        <v>toxval_numeric</v>
      </c>
      <c r="G12" s="1" t="s">
        <v>301</v>
      </c>
    </row>
    <row r="13" spans="1:7" x14ac:dyDescent="0.25">
      <c r="A13" s="1">
        <v>12</v>
      </c>
      <c r="B13" s="1" t="s">
        <v>10</v>
      </c>
      <c r="C13" s="1" t="s">
        <v>79</v>
      </c>
      <c r="D13" s="1" t="s">
        <v>91</v>
      </c>
      <c r="F13" s="1" t="str">
        <f t="shared" si="0"/>
        <v>toxval_units</v>
      </c>
      <c r="G13" s="1" t="s">
        <v>301</v>
      </c>
    </row>
    <row r="14" spans="1:7" ht="45" x14ac:dyDescent="0.25">
      <c r="A14" s="1">
        <v>13</v>
      </c>
      <c r="B14" s="1" t="s">
        <v>11</v>
      </c>
      <c r="C14" s="1" t="s">
        <v>135</v>
      </c>
      <c r="D14" s="1" t="s">
        <v>93</v>
      </c>
      <c r="E14" s="1" t="s">
        <v>136</v>
      </c>
      <c r="F14" s="1" t="str">
        <f t="shared" si="0"/>
        <v>risk_assessment_class</v>
      </c>
      <c r="G14" s="1" t="s">
        <v>301</v>
      </c>
    </row>
    <row r="15" spans="1:7" ht="30" x14ac:dyDescent="0.25">
      <c r="A15" s="1">
        <v>14</v>
      </c>
      <c r="B15" s="1" t="s">
        <v>529</v>
      </c>
      <c r="C15" s="1" t="s">
        <v>530</v>
      </c>
      <c r="D15" s="1" t="s">
        <v>531</v>
      </c>
      <c r="F15" s="1" t="str">
        <f t="shared" si="0"/>
        <v>human_eco</v>
      </c>
      <c r="G15" s="1" t="s">
        <v>301</v>
      </c>
    </row>
    <row r="16" spans="1:7" x14ac:dyDescent="0.25">
      <c r="A16" s="1">
        <v>15</v>
      </c>
      <c r="B16" s="1" t="s">
        <v>12</v>
      </c>
      <c r="C16" s="1" t="s">
        <v>94</v>
      </c>
      <c r="D16" s="1" t="s">
        <v>95</v>
      </c>
      <c r="F16" s="1" t="str">
        <f t="shared" si="0"/>
        <v>study_type</v>
      </c>
      <c r="G16" s="1" t="s">
        <v>301</v>
      </c>
    </row>
    <row r="17" spans="1:7" ht="60" x14ac:dyDescent="0.25">
      <c r="A17" s="1">
        <v>16</v>
      </c>
      <c r="B17" s="1" t="s">
        <v>13</v>
      </c>
      <c r="C17" s="1" t="s">
        <v>102</v>
      </c>
      <c r="D17" s="1" t="s">
        <v>103</v>
      </c>
      <c r="E17" s="1" t="s">
        <v>104</v>
      </c>
      <c r="F17" s="1" t="str">
        <f t="shared" si="0"/>
        <v>study_duration_class</v>
      </c>
      <c r="G17" s="1" t="s">
        <v>301</v>
      </c>
    </row>
    <row r="18" spans="1:7" ht="30" x14ac:dyDescent="0.25">
      <c r="A18" s="1">
        <v>17</v>
      </c>
      <c r="B18" s="1" t="s">
        <v>14</v>
      </c>
      <c r="C18" s="1" t="s">
        <v>105</v>
      </c>
      <c r="D18" s="1" t="s">
        <v>106</v>
      </c>
      <c r="E18" s="2" t="s">
        <v>101</v>
      </c>
      <c r="F18" s="1" t="str">
        <f t="shared" si="0"/>
        <v>study_duration_value</v>
      </c>
      <c r="G18" s="1" t="s">
        <v>301</v>
      </c>
    </row>
    <row r="19" spans="1:7" x14ac:dyDescent="0.25">
      <c r="A19" s="1">
        <v>18</v>
      </c>
      <c r="B19" s="1" t="s">
        <v>15</v>
      </c>
      <c r="C19" s="1" t="s">
        <v>107</v>
      </c>
      <c r="D19" s="1" t="s">
        <v>108</v>
      </c>
      <c r="F19" s="1" t="str">
        <f t="shared" si="0"/>
        <v>study_duration_units</v>
      </c>
      <c r="G19" s="1" t="s">
        <v>301</v>
      </c>
    </row>
    <row r="20" spans="1:7" x14ac:dyDescent="0.25">
      <c r="A20" s="1">
        <v>19</v>
      </c>
      <c r="B20" s="1" t="s">
        <v>16</v>
      </c>
      <c r="C20" s="1" t="s">
        <v>111</v>
      </c>
      <c r="D20" s="1" t="s">
        <v>109</v>
      </c>
      <c r="F20" s="1" t="s">
        <v>296</v>
      </c>
      <c r="G20" s="1" t="s">
        <v>303</v>
      </c>
    </row>
    <row r="21" spans="1:7" x14ac:dyDescent="0.25">
      <c r="A21" s="1">
        <v>20</v>
      </c>
      <c r="B21" s="1" t="s">
        <v>17</v>
      </c>
      <c r="C21" s="1" t="s">
        <v>112</v>
      </c>
      <c r="D21" s="1" t="s">
        <v>110</v>
      </c>
      <c r="F21" s="1" t="str">
        <f t="shared" si="0"/>
        <v>strain</v>
      </c>
      <c r="G21" s="1" t="s">
        <v>301</v>
      </c>
    </row>
    <row r="22" spans="1:7" x14ac:dyDescent="0.25">
      <c r="A22" s="1">
        <v>21</v>
      </c>
      <c r="B22" s="1" t="s">
        <v>18</v>
      </c>
      <c r="C22" s="1" t="s">
        <v>114</v>
      </c>
      <c r="D22" s="1" t="s">
        <v>113</v>
      </c>
      <c r="F22" s="1" t="str">
        <f t="shared" si="0"/>
        <v>latin_name</v>
      </c>
      <c r="G22" s="1" t="s">
        <v>303</v>
      </c>
    </row>
    <row r="23" spans="1:7" x14ac:dyDescent="0.25">
      <c r="A23" s="1">
        <v>22</v>
      </c>
      <c r="B23" s="1" t="s">
        <v>19</v>
      </c>
      <c r="C23" s="1" t="s">
        <v>115</v>
      </c>
      <c r="D23" s="1" t="s">
        <v>116</v>
      </c>
      <c r="F23" s="1" t="s">
        <v>297</v>
      </c>
      <c r="G23" s="1" t="s">
        <v>303</v>
      </c>
    </row>
    <row r="24" spans="1:7" x14ac:dyDescent="0.25">
      <c r="A24" s="1">
        <v>23</v>
      </c>
      <c r="B24" s="1" t="s">
        <v>20</v>
      </c>
      <c r="C24" s="1" t="s">
        <v>117</v>
      </c>
      <c r="D24" s="1" t="s">
        <v>118</v>
      </c>
      <c r="F24" s="1" t="str">
        <f t="shared" si="0"/>
        <v>sex</v>
      </c>
      <c r="G24" s="1" t="s">
        <v>301</v>
      </c>
    </row>
    <row r="25" spans="1:7" x14ac:dyDescent="0.25">
      <c r="A25" s="1">
        <v>24</v>
      </c>
      <c r="B25" s="1" t="s">
        <v>21</v>
      </c>
      <c r="C25" s="1" t="s">
        <v>119</v>
      </c>
      <c r="D25" s="1" t="s">
        <v>120</v>
      </c>
      <c r="F25" s="1" t="str">
        <f t="shared" si="0"/>
        <v>generation</v>
      </c>
      <c r="G25" s="1" t="s">
        <v>301</v>
      </c>
    </row>
    <row r="26" spans="1:7" x14ac:dyDescent="0.25">
      <c r="A26" s="1">
        <v>25</v>
      </c>
      <c r="B26" s="1" t="s">
        <v>22</v>
      </c>
      <c r="C26" s="1" t="s">
        <v>121</v>
      </c>
      <c r="D26" s="1" t="s">
        <v>122</v>
      </c>
      <c r="F26" s="1" t="str">
        <f t="shared" si="0"/>
        <v>lifestage</v>
      </c>
      <c r="G26" s="1" t="s">
        <v>301</v>
      </c>
    </row>
    <row r="27" spans="1:7" x14ac:dyDescent="0.25">
      <c r="A27" s="1">
        <v>26</v>
      </c>
      <c r="B27" s="1" t="s">
        <v>23</v>
      </c>
      <c r="C27" s="1" t="s">
        <v>123</v>
      </c>
      <c r="D27" s="1" t="s">
        <v>124</v>
      </c>
      <c r="F27" s="1" t="str">
        <f t="shared" si="0"/>
        <v>exposure_route</v>
      </c>
      <c r="G27" s="1" t="s">
        <v>301</v>
      </c>
    </row>
    <row r="28" spans="1:7" x14ac:dyDescent="0.25">
      <c r="A28" s="1">
        <v>27</v>
      </c>
      <c r="B28" s="1" t="s">
        <v>24</v>
      </c>
      <c r="C28" s="1" t="s">
        <v>125</v>
      </c>
      <c r="D28" s="1" t="s">
        <v>126</v>
      </c>
      <c r="F28" s="1" t="str">
        <f t="shared" si="0"/>
        <v>exposure_method</v>
      </c>
      <c r="G28" s="1" t="s">
        <v>301</v>
      </c>
    </row>
    <row r="29" spans="1:7" x14ac:dyDescent="0.25">
      <c r="A29" s="1">
        <v>28</v>
      </c>
      <c r="B29" s="1" t="s">
        <v>25</v>
      </c>
      <c r="C29" s="1" t="s">
        <v>127</v>
      </c>
      <c r="D29" s="1" t="s">
        <v>128</v>
      </c>
      <c r="F29" s="1" t="str">
        <f t="shared" si="0"/>
        <v>exposure_form</v>
      </c>
      <c r="G29" s="1" t="s">
        <v>301</v>
      </c>
    </row>
    <row r="30" spans="1:7" x14ac:dyDescent="0.25">
      <c r="A30" s="1">
        <v>29</v>
      </c>
      <c r="B30" s="1" t="s">
        <v>26</v>
      </c>
      <c r="C30" s="1" t="s">
        <v>133</v>
      </c>
      <c r="D30" s="1" t="s">
        <v>134</v>
      </c>
      <c r="F30" s="1" t="str">
        <f t="shared" si="0"/>
        <v>media</v>
      </c>
      <c r="G30" s="1" t="s">
        <v>301</v>
      </c>
    </row>
    <row r="31" spans="1:7" x14ac:dyDescent="0.25">
      <c r="A31" s="1">
        <v>30</v>
      </c>
      <c r="B31" s="1" t="s">
        <v>138</v>
      </c>
      <c r="C31" s="1" t="s">
        <v>129</v>
      </c>
      <c r="D31" s="1" t="s">
        <v>130</v>
      </c>
      <c r="E31" s="1" t="s">
        <v>141</v>
      </c>
      <c r="F31" s="1" t="str">
        <f t="shared" si="0"/>
        <v>toxicological_effect</v>
      </c>
      <c r="G31" s="1" t="s">
        <v>301</v>
      </c>
    </row>
    <row r="32" spans="1:7" ht="30" x14ac:dyDescent="0.25">
      <c r="A32" s="1">
        <v>31</v>
      </c>
      <c r="B32" s="1" t="s">
        <v>537</v>
      </c>
      <c r="C32" s="1" t="s">
        <v>540</v>
      </c>
      <c r="D32" s="1" t="s">
        <v>538</v>
      </c>
      <c r="F32" s="1" t="str">
        <f t="shared" si="0"/>
        <v>toxicological_effect_category</v>
      </c>
      <c r="G32" s="1" t="s">
        <v>539</v>
      </c>
    </row>
    <row r="33" spans="1:7" ht="45" x14ac:dyDescent="0.25">
      <c r="A33" s="1">
        <v>32</v>
      </c>
      <c r="B33" s="1" t="s">
        <v>27</v>
      </c>
      <c r="C33" s="1" t="s">
        <v>131</v>
      </c>
      <c r="D33" s="1" t="s">
        <v>137</v>
      </c>
      <c r="F33" s="1" t="str">
        <f t="shared" si="0"/>
        <v>experimental_record</v>
      </c>
      <c r="G33" s="1" t="s">
        <v>301</v>
      </c>
    </row>
    <row r="34" spans="1:7" ht="60" x14ac:dyDescent="0.25">
      <c r="A34" s="1">
        <v>33</v>
      </c>
      <c r="B34" s="1" t="s">
        <v>28</v>
      </c>
      <c r="C34" s="1" t="s">
        <v>63</v>
      </c>
      <c r="F34" s="1" t="str">
        <f t="shared" si="0"/>
        <v>study_group</v>
      </c>
      <c r="G34" s="1" t="s">
        <v>301</v>
      </c>
    </row>
    <row r="35" spans="1:7" x14ac:dyDescent="0.25">
      <c r="A35" s="1">
        <v>34</v>
      </c>
      <c r="B35" s="1" t="s">
        <v>29</v>
      </c>
      <c r="C35" s="1" t="s">
        <v>64</v>
      </c>
      <c r="F35" s="1" t="str">
        <f t="shared" si="0"/>
        <v>long_ref</v>
      </c>
      <c r="G35" s="1" t="s">
        <v>304</v>
      </c>
    </row>
    <row r="36" spans="1:7" x14ac:dyDescent="0.25">
      <c r="A36" s="1">
        <v>35</v>
      </c>
      <c r="B36" s="1" t="s">
        <v>30</v>
      </c>
      <c r="C36" s="1" t="s">
        <v>65</v>
      </c>
      <c r="F36" s="1" t="str">
        <f t="shared" si="0"/>
        <v>doi</v>
      </c>
      <c r="G36" s="1" t="s">
        <v>304</v>
      </c>
    </row>
    <row r="37" spans="1:7" x14ac:dyDescent="0.25">
      <c r="A37" s="1">
        <v>36</v>
      </c>
      <c r="B37" s="1" t="s">
        <v>31</v>
      </c>
      <c r="C37" s="1" t="s">
        <v>66</v>
      </c>
      <c r="F37" s="1" t="str">
        <f t="shared" si="0"/>
        <v>title</v>
      </c>
      <c r="G37" s="1" t="s">
        <v>304</v>
      </c>
    </row>
    <row r="38" spans="1:7" x14ac:dyDescent="0.25">
      <c r="A38" s="1">
        <v>37</v>
      </c>
      <c r="B38" s="1" t="s">
        <v>32</v>
      </c>
      <c r="C38" s="1" t="s">
        <v>67</v>
      </c>
      <c r="F38" s="1" t="str">
        <f t="shared" si="0"/>
        <v>author</v>
      </c>
      <c r="G38" s="1" t="s">
        <v>304</v>
      </c>
    </row>
    <row r="39" spans="1:7" x14ac:dyDescent="0.25">
      <c r="A39" s="1">
        <v>38</v>
      </c>
      <c r="B39" s="1" t="s">
        <v>33</v>
      </c>
      <c r="C39" s="1" t="s">
        <v>68</v>
      </c>
      <c r="F39" s="1" t="str">
        <f t="shared" si="0"/>
        <v>year</v>
      </c>
      <c r="G39" s="1" t="s">
        <v>301</v>
      </c>
    </row>
    <row r="40" spans="1:7" x14ac:dyDescent="0.25">
      <c r="A40" s="1">
        <v>39</v>
      </c>
      <c r="B40" s="1" t="s">
        <v>34</v>
      </c>
      <c r="C40" s="1" t="s">
        <v>77</v>
      </c>
      <c r="F40" s="1" t="str">
        <f t="shared" si="0"/>
        <v>guideline</v>
      </c>
      <c r="G40" s="1" t="s">
        <v>304</v>
      </c>
    </row>
    <row r="41" spans="1:7" ht="30" x14ac:dyDescent="0.25">
      <c r="A41" s="1">
        <v>40</v>
      </c>
      <c r="B41" s="1" t="s">
        <v>35</v>
      </c>
      <c r="C41" s="1" t="s">
        <v>78</v>
      </c>
      <c r="F41" s="1" t="str">
        <f t="shared" si="0"/>
        <v>quality</v>
      </c>
      <c r="G41" s="1" t="s">
        <v>304</v>
      </c>
    </row>
    <row r="42" spans="1:7" ht="45" x14ac:dyDescent="0.25">
      <c r="A42" s="1">
        <v>41</v>
      </c>
      <c r="B42" s="1" t="s">
        <v>36</v>
      </c>
      <c r="C42" s="1" t="s">
        <v>132</v>
      </c>
      <c r="F42" s="1" t="str">
        <f t="shared" si="0"/>
        <v>qc_category</v>
      </c>
      <c r="G42" s="1" t="s">
        <v>301</v>
      </c>
    </row>
    <row r="43" spans="1:7" ht="75" x14ac:dyDescent="0.25">
      <c r="A43" s="1">
        <v>42</v>
      </c>
      <c r="B43" s="1" t="s">
        <v>305</v>
      </c>
      <c r="C43" s="1" t="s">
        <v>307</v>
      </c>
      <c r="D43" s="1" t="s">
        <v>306</v>
      </c>
      <c r="F43" s="1" t="str">
        <f t="shared" si="0"/>
        <v>qc_status</v>
      </c>
      <c r="G43" s="1" t="s">
        <v>301</v>
      </c>
    </row>
    <row r="44" spans="1:7" x14ac:dyDescent="0.25">
      <c r="A44" s="1">
        <v>43</v>
      </c>
      <c r="B44" s="6" t="s">
        <v>512</v>
      </c>
      <c r="C44" s="6" t="s">
        <v>511</v>
      </c>
      <c r="D44" s="4"/>
      <c r="E44" s="4"/>
      <c r="F44" s="6" t="s">
        <v>510</v>
      </c>
      <c r="G44" t="s">
        <v>301</v>
      </c>
    </row>
    <row r="45" spans="1:7" ht="30" x14ac:dyDescent="0.25">
      <c r="A45" s="1">
        <v>44</v>
      </c>
      <c r="B45" s="1" t="s">
        <v>37</v>
      </c>
      <c r="C45" s="1" t="s">
        <v>74</v>
      </c>
      <c r="F45" s="1" t="str">
        <f t="shared" si="0"/>
        <v>source_hash</v>
      </c>
      <c r="G45" s="1" t="s">
        <v>301</v>
      </c>
    </row>
    <row r="46" spans="1:7" x14ac:dyDescent="0.25">
      <c r="A46" s="1">
        <v>45</v>
      </c>
      <c r="B46" s="1" t="s">
        <v>38</v>
      </c>
      <c r="C46" s="1" t="s">
        <v>75</v>
      </c>
      <c r="F46" s="1" t="str">
        <f t="shared" si="0"/>
        <v>external_source_id</v>
      </c>
      <c r="G46" s="1" t="s">
        <v>304</v>
      </c>
    </row>
    <row r="47" spans="1:7" ht="30" x14ac:dyDescent="0.25">
      <c r="A47" s="1">
        <v>46</v>
      </c>
      <c r="B47" s="1" t="s">
        <v>39</v>
      </c>
      <c r="C47" s="1" t="s">
        <v>76</v>
      </c>
      <c r="F47" s="1" t="str">
        <f t="shared" si="0"/>
        <v>external_source_id_desc</v>
      </c>
      <c r="G47" s="1" t="s">
        <v>304</v>
      </c>
    </row>
    <row r="48" spans="1:7" x14ac:dyDescent="0.25">
      <c r="A48" s="1">
        <v>47</v>
      </c>
      <c r="B48" s="1" t="s">
        <v>40</v>
      </c>
      <c r="C48" s="1" t="s">
        <v>69</v>
      </c>
      <c r="F48" s="1" t="str">
        <f t="shared" si="0"/>
        <v>source_url</v>
      </c>
      <c r="G48" s="1" t="s">
        <v>301</v>
      </c>
    </row>
    <row r="49" spans="1:7" x14ac:dyDescent="0.25">
      <c r="A49" s="1">
        <v>48</v>
      </c>
      <c r="B49" s="1" t="s">
        <v>41</v>
      </c>
      <c r="C49" s="1" t="s">
        <v>70</v>
      </c>
      <c r="F49" s="1" t="str">
        <f t="shared" si="0"/>
        <v>subsource_url</v>
      </c>
      <c r="G49" s="1" t="s">
        <v>301</v>
      </c>
    </row>
    <row r="50" spans="1:7" x14ac:dyDescent="0.25">
      <c r="A50" s="1">
        <v>49</v>
      </c>
      <c r="B50" s="1" t="s">
        <v>42</v>
      </c>
      <c r="C50" s="1" t="s">
        <v>71</v>
      </c>
      <c r="F50" s="1" t="s">
        <v>298</v>
      </c>
      <c r="G50" s="1" t="s">
        <v>304</v>
      </c>
    </row>
    <row r="51" spans="1:7" ht="30" x14ac:dyDescent="0.25">
      <c r="A51" s="1">
        <v>50</v>
      </c>
      <c r="B51" s="1" t="s">
        <v>515</v>
      </c>
      <c r="C51" s="1" t="s">
        <v>532</v>
      </c>
      <c r="F51" s="1" t="s">
        <v>513</v>
      </c>
      <c r="G51" s="1" t="s">
        <v>304</v>
      </c>
    </row>
    <row r="52" spans="1:7" x14ac:dyDescent="0.25">
      <c r="A52" s="1">
        <v>51</v>
      </c>
      <c r="B52" s="1" t="s">
        <v>43</v>
      </c>
      <c r="C52" s="1" t="s">
        <v>72</v>
      </c>
      <c r="F52" s="1" t="str">
        <f t="shared" si="0"/>
        <v>toxval_type_original</v>
      </c>
      <c r="G52" s="1" t="s">
        <v>301</v>
      </c>
    </row>
    <row r="53" spans="1:7" x14ac:dyDescent="0.25">
      <c r="A53" s="1">
        <v>52</v>
      </c>
      <c r="B53" s="1" t="s">
        <v>44</v>
      </c>
      <c r="C53" s="1" t="s">
        <v>72</v>
      </c>
      <c r="F53" s="1" t="str">
        <f t="shared" si="0"/>
        <v>toxval_subtype_original</v>
      </c>
      <c r="G53" s="1" t="s">
        <v>301</v>
      </c>
    </row>
    <row r="54" spans="1:7" x14ac:dyDescent="0.25">
      <c r="A54" s="1">
        <v>53</v>
      </c>
      <c r="B54" s="1" t="s">
        <v>45</v>
      </c>
      <c r="C54" s="1" t="s">
        <v>72</v>
      </c>
      <c r="F54" s="1" t="str">
        <f t="shared" si="0"/>
        <v>toxval_numeric_original</v>
      </c>
      <c r="G54" s="1" t="s">
        <v>301</v>
      </c>
    </row>
    <row r="55" spans="1:7" x14ac:dyDescent="0.25">
      <c r="A55" s="1">
        <v>54</v>
      </c>
      <c r="B55" s="1" t="s">
        <v>46</v>
      </c>
      <c r="C55" s="1" t="s">
        <v>72</v>
      </c>
      <c r="F55" s="1" t="str">
        <f t="shared" si="0"/>
        <v>toxval_units_original</v>
      </c>
      <c r="G55" s="1" t="s">
        <v>301</v>
      </c>
    </row>
    <row r="56" spans="1:7" x14ac:dyDescent="0.25">
      <c r="A56" s="1">
        <v>55</v>
      </c>
      <c r="B56" s="1" t="s">
        <v>47</v>
      </c>
      <c r="C56" s="1" t="s">
        <v>72</v>
      </c>
      <c r="F56" s="1" t="str">
        <f t="shared" si="0"/>
        <v>study_type_original</v>
      </c>
      <c r="G56" s="1" t="s">
        <v>301</v>
      </c>
    </row>
    <row r="57" spans="1:7" x14ac:dyDescent="0.25">
      <c r="A57" s="1">
        <v>56</v>
      </c>
      <c r="B57" s="1" t="s">
        <v>48</v>
      </c>
      <c r="C57" s="1" t="s">
        <v>72</v>
      </c>
      <c r="F57" s="1" t="str">
        <f t="shared" si="0"/>
        <v>study_duration_class_original</v>
      </c>
      <c r="G57" s="1" t="s">
        <v>301</v>
      </c>
    </row>
    <row r="58" spans="1:7" x14ac:dyDescent="0.25">
      <c r="A58" s="1">
        <v>57</v>
      </c>
      <c r="B58" s="1" t="s">
        <v>49</v>
      </c>
      <c r="C58" s="1" t="s">
        <v>72</v>
      </c>
      <c r="F58" s="1" t="str">
        <f t="shared" si="0"/>
        <v>study_duration_value_original</v>
      </c>
      <c r="G58" s="1" t="s">
        <v>301</v>
      </c>
    </row>
    <row r="59" spans="1:7" x14ac:dyDescent="0.25">
      <c r="A59" s="1">
        <v>58</v>
      </c>
      <c r="B59" s="1" t="s">
        <v>50</v>
      </c>
      <c r="C59" s="1" t="s">
        <v>72</v>
      </c>
      <c r="F59" s="1" t="str">
        <f t="shared" si="0"/>
        <v>study_duration_units_original</v>
      </c>
      <c r="G59" s="1" t="s">
        <v>301</v>
      </c>
    </row>
    <row r="60" spans="1:7" x14ac:dyDescent="0.25">
      <c r="A60" s="1">
        <v>59</v>
      </c>
      <c r="B60" s="1" t="s">
        <v>51</v>
      </c>
      <c r="C60" s="1" t="s">
        <v>72</v>
      </c>
      <c r="F60" s="1" t="str">
        <f t="shared" si="0"/>
        <v>species_original</v>
      </c>
      <c r="G60" s="1" t="s">
        <v>301</v>
      </c>
    </row>
    <row r="61" spans="1:7" x14ac:dyDescent="0.25">
      <c r="A61" s="1">
        <v>60</v>
      </c>
      <c r="B61" s="1" t="s">
        <v>52</v>
      </c>
      <c r="C61" s="1" t="s">
        <v>72</v>
      </c>
      <c r="F61" s="1" t="str">
        <f t="shared" si="0"/>
        <v>strain_original</v>
      </c>
      <c r="G61" s="1" t="s">
        <v>301</v>
      </c>
    </row>
    <row r="62" spans="1:7" x14ac:dyDescent="0.25">
      <c r="A62" s="1">
        <v>61</v>
      </c>
      <c r="B62" s="1" t="s">
        <v>53</v>
      </c>
      <c r="C62" s="1" t="s">
        <v>72</v>
      </c>
      <c r="F62" s="1" t="str">
        <f t="shared" si="0"/>
        <v>sex_original</v>
      </c>
      <c r="G62" s="1" t="s">
        <v>301</v>
      </c>
    </row>
    <row r="63" spans="1:7" x14ac:dyDescent="0.25">
      <c r="A63" s="1">
        <v>62</v>
      </c>
      <c r="B63" s="1" t="s">
        <v>54</v>
      </c>
      <c r="C63" s="1" t="s">
        <v>72</v>
      </c>
      <c r="F63" s="1" t="str">
        <f t="shared" si="0"/>
        <v>generation_original</v>
      </c>
      <c r="G63" s="1" t="s">
        <v>301</v>
      </c>
    </row>
    <row r="64" spans="1:7" x14ac:dyDescent="0.25">
      <c r="A64" s="1">
        <v>63</v>
      </c>
      <c r="B64" s="1" t="s">
        <v>55</v>
      </c>
      <c r="C64" s="1" t="s">
        <v>72</v>
      </c>
      <c r="F64" s="1" t="str">
        <f t="shared" si="0"/>
        <v>lifestage_original</v>
      </c>
      <c r="G64" s="1" t="s">
        <v>301</v>
      </c>
    </row>
    <row r="65" spans="1:7" x14ac:dyDescent="0.25">
      <c r="A65" s="1">
        <v>64</v>
      </c>
      <c r="B65" s="1" t="s">
        <v>56</v>
      </c>
      <c r="C65" s="1" t="s">
        <v>72</v>
      </c>
      <c r="F65" s="1" t="str">
        <f t="shared" si="0"/>
        <v>exposure_route_original</v>
      </c>
      <c r="G65" s="1" t="s">
        <v>301</v>
      </c>
    </row>
    <row r="66" spans="1:7" x14ac:dyDescent="0.25">
      <c r="A66" s="1">
        <v>65</v>
      </c>
      <c r="B66" s="1" t="s">
        <v>57</v>
      </c>
      <c r="C66" s="1" t="s">
        <v>72</v>
      </c>
      <c r="F66" s="1" t="str">
        <f t="shared" si="0"/>
        <v>exposure_method_original</v>
      </c>
      <c r="G66" s="1" t="s">
        <v>301</v>
      </c>
    </row>
    <row r="67" spans="1:7" x14ac:dyDescent="0.25">
      <c r="A67" s="1">
        <v>66</v>
      </c>
      <c r="B67" s="1" t="s">
        <v>58</v>
      </c>
      <c r="C67" s="1" t="s">
        <v>72</v>
      </c>
      <c r="F67" s="1" t="str">
        <f t="shared" si="0"/>
        <v>exposure_form_original</v>
      </c>
      <c r="G67" s="1" t="s">
        <v>301</v>
      </c>
    </row>
    <row r="68" spans="1:7" x14ac:dyDescent="0.25">
      <c r="A68" s="1">
        <v>67</v>
      </c>
      <c r="B68" s="1" t="s">
        <v>59</v>
      </c>
      <c r="C68" s="1" t="s">
        <v>72</v>
      </c>
      <c r="F68" s="1" t="str">
        <f t="shared" si="0"/>
        <v>media_original</v>
      </c>
      <c r="G68" s="1" t="s">
        <v>301</v>
      </c>
    </row>
    <row r="69" spans="1:7" ht="30" x14ac:dyDescent="0.25">
      <c r="A69" s="1">
        <v>68</v>
      </c>
      <c r="B69" s="1" t="s">
        <v>139</v>
      </c>
      <c r="C69" s="1" t="s">
        <v>72</v>
      </c>
      <c r="E69" s="1" t="s">
        <v>140</v>
      </c>
      <c r="F69" s="1" t="str">
        <f t="shared" si="0"/>
        <v>toxicological_effect_original</v>
      </c>
      <c r="G69" s="1" t="s">
        <v>301</v>
      </c>
    </row>
    <row r="70" spans="1:7" x14ac:dyDescent="0.25">
      <c r="A70" s="1">
        <v>69</v>
      </c>
      <c r="B70" s="1" t="s">
        <v>60</v>
      </c>
      <c r="C70" s="1" t="s">
        <v>73</v>
      </c>
      <c r="F70" s="1" t="s">
        <v>299</v>
      </c>
      <c r="G70" s="1" t="s">
        <v>301</v>
      </c>
    </row>
  </sheetData>
  <autoFilter ref="A1:C70" xr:uid="{D0C3F5F4-0E5E-457D-AF91-ED448BE5D0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782A-EE1B-48FB-9C4B-DF7B87CEE301}">
  <dimension ref="A1:G6"/>
  <sheetViews>
    <sheetView workbookViewId="0">
      <selection activeCell="B2" sqref="B2"/>
    </sheetView>
  </sheetViews>
  <sheetFormatPr defaultRowHeight="15" x14ac:dyDescent="0.25"/>
  <cols>
    <col min="2" max="2" width="17.28515625" bestFit="1" customWidth="1"/>
    <col min="3" max="3" width="74.140625" bestFit="1" customWidth="1"/>
    <col min="4" max="4" width="9.42578125" bestFit="1" customWidth="1"/>
    <col min="5" max="5" width="6.28515625" bestFit="1" customWidth="1"/>
    <col min="6" max="6" width="15.28515625" bestFit="1" customWidth="1"/>
    <col min="7" max="7" width="16" bestFit="1" customWidth="1"/>
  </cols>
  <sheetData>
    <row r="1" spans="1:7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>
        <v>1</v>
      </c>
      <c r="B2" t="s">
        <v>0</v>
      </c>
      <c r="C2" t="s">
        <v>462</v>
      </c>
      <c r="F2" t="s">
        <v>324</v>
      </c>
      <c r="G2" t="s">
        <v>473</v>
      </c>
    </row>
    <row r="3" spans="1:7" x14ac:dyDescent="0.25">
      <c r="A3">
        <v>2</v>
      </c>
      <c r="B3" t="s">
        <v>3</v>
      </c>
      <c r="C3" t="s">
        <v>442</v>
      </c>
      <c r="F3" t="s">
        <v>338</v>
      </c>
      <c r="G3" t="s">
        <v>473</v>
      </c>
    </row>
    <row r="4" spans="1:7" x14ac:dyDescent="0.25">
      <c r="A4">
        <v>3</v>
      </c>
      <c r="B4" t="s">
        <v>23</v>
      </c>
      <c r="C4" t="s">
        <v>474</v>
      </c>
      <c r="F4" t="s">
        <v>468</v>
      </c>
      <c r="G4" t="s">
        <v>473</v>
      </c>
    </row>
    <row r="5" spans="1:7" x14ac:dyDescent="0.25">
      <c r="A5">
        <v>4</v>
      </c>
      <c r="B5" t="s">
        <v>471</v>
      </c>
      <c r="C5" t="s">
        <v>475</v>
      </c>
      <c r="F5" t="s">
        <v>469</v>
      </c>
      <c r="G5" t="s">
        <v>473</v>
      </c>
    </row>
    <row r="6" spans="1:7" x14ac:dyDescent="0.25">
      <c r="A6">
        <v>5</v>
      </c>
      <c r="B6" t="s">
        <v>40</v>
      </c>
      <c r="C6" t="s">
        <v>476</v>
      </c>
      <c r="F6" t="s">
        <v>470</v>
      </c>
      <c r="G6" t="s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21F5-3DFB-4790-AE96-7B73AED00CC8}">
  <dimension ref="A1:G38"/>
  <sheetViews>
    <sheetView workbookViewId="0">
      <selection activeCell="B2" sqref="B2"/>
    </sheetView>
  </sheetViews>
  <sheetFormatPr defaultRowHeight="15" x14ac:dyDescent="0.25"/>
  <cols>
    <col min="1" max="1" width="5.85546875" bestFit="1" customWidth="1"/>
    <col min="2" max="2" width="31.28515625" bestFit="1" customWidth="1"/>
    <col min="3" max="3" width="78.28515625" bestFit="1" customWidth="1"/>
    <col min="4" max="4" width="9.42578125" bestFit="1" customWidth="1"/>
    <col min="5" max="5" width="6.28515625" bestFit="1" customWidth="1"/>
    <col min="6" max="6" width="28" bestFit="1" customWidth="1"/>
    <col min="7" max="7" width="15.42578125" bestFit="1" customWidth="1"/>
  </cols>
  <sheetData>
    <row r="1" spans="1:7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>
        <v>1</v>
      </c>
      <c r="B2" t="s">
        <v>366</v>
      </c>
      <c r="C2" t="s">
        <v>415</v>
      </c>
      <c r="F2" t="s">
        <v>308</v>
      </c>
      <c r="G2" t="s">
        <v>365</v>
      </c>
    </row>
    <row r="3" spans="1:7" x14ac:dyDescent="0.25">
      <c r="A3">
        <v>2</v>
      </c>
      <c r="B3" t="s">
        <v>367</v>
      </c>
      <c r="C3" t="s">
        <v>416</v>
      </c>
      <c r="F3" t="s">
        <v>309</v>
      </c>
      <c r="G3" t="s">
        <v>365</v>
      </c>
    </row>
    <row r="4" spans="1:7" x14ac:dyDescent="0.25">
      <c r="A4">
        <v>3</v>
      </c>
      <c r="B4" t="s">
        <v>368</v>
      </c>
      <c r="C4" t="s">
        <v>417</v>
      </c>
      <c r="F4" t="s">
        <v>310</v>
      </c>
      <c r="G4" t="s">
        <v>365</v>
      </c>
    </row>
    <row r="5" spans="1:7" x14ac:dyDescent="0.25">
      <c r="A5">
        <v>4</v>
      </c>
      <c r="B5" t="s">
        <v>369</v>
      </c>
      <c r="C5" t="s">
        <v>418</v>
      </c>
      <c r="F5" t="s">
        <v>311</v>
      </c>
      <c r="G5" t="s">
        <v>365</v>
      </c>
    </row>
    <row r="6" spans="1:7" x14ac:dyDescent="0.25">
      <c r="A6">
        <v>5</v>
      </c>
      <c r="B6" t="s">
        <v>370</v>
      </c>
      <c r="C6" t="s">
        <v>419</v>
      </c>
      <c r="F6" t="s">
        <v>312</v>
      </c>
      <c r="G6" t="s">
        <v>365</v>
      </c>
    </row>
    <row r="7" spans="1:7" x14ac:dyDescent="0.25">
      <c r="A7">
        <v>6</v>
      </c>
      <c r="B7" t="s">
        <v>371</v>
      </c>
      <c r="C7" t="s">
        <v>420</v>
      </c>
      <c r="F7" t="s">
        <v>313</v>
      </c>
      <c r="G7" t="s">
        <v>365</v>
      </c>
    </row>
    <row r="8" spans="1:7" x14ac:dyDescent="0.25">
      <c r="A8">
        <v>7</v>
      </c>
      <c r="B8" t="s">
        <v>372</v>
      </c>
      <c r="C8" t="s">
        <v>421</v>
      </c>
      <c r="F8" t="s">
        <v>314</v>
      </c>
      <c r="G8" t="s">
        <v>365</v>
      </c>
    </row>
    <row r="9" spans="1:7" x14ac:dyDescent="0.25">
      <c r="A9">
        <v>8</v>
      </c>
      <c r="B9" t="s">
        <v>373</v>
      </c>
      <c r="C9" t="s">
        <v>422</v>
      </c>
      <c r="F9" t="s">
        <v>315</v>
      </c>
      <c r="G9" t="s">
        <v>365</v>
      </c>
    </row>
    <row r="10" spans="1:7" x14ac:dyDescent="0.25">
      <c r="A10">
        <v>9</v>
      </c>
      <c r="B10" t="s">
        <v>374</v>
      </c>
      <c r="C10" t="s">
        <v>423</v>
      </c>
      <c r="F10" t="s">
        <v>316</v>
      </c>
      <c r="G10" t="s">
        <v>365</v>
      </c>
    </row>
    <row r="11" spans="1:7" x14ac:dyDescent="0.25">
      <c r="A11">
        <v>10</v>
      </c>
      <c r="B11" t="s">
        <v>375</v>
      </c>
      <c r="C11" t="s">
        <v>424</v>
      </c>
      <c r="F11" t="s">
        <v>317</v>
      </c>
      <c r="G11" t="s">
        <v>365</v>
      </c>
    </row>
    <row r="12" spans="1:7" x14ac:dyDescent="0.25">
      <c r="A12">
        <v>11</v>
      </c>
      <c r="B12" t="s">
        <v>376</v>
      </c>
      <c r="C12" t="s">
        <v>71</v>
      </c>
      <c r="F12" t="s">
        <v>298</v>
      </c>
      <c r="G12" t="s">
        <v>365</v>
      </c>
    </row>
    <row r="13" spans="1:7" x14ac:dyDescent="0.25">
      <c r="A13">
        <v>12</v>
      </c>
      <c r="B13" t="s">
        <v>377</v>
      </c>
      <c r="C13" t="s">
        <v>446</v>
      </c>
      <c r="F13" t="s">
        <v>318</v>
      </c>
      <c r="G13" t="s">
        <v>365</v>
      </c>
    </row>
    <row r="14" spans="1:7" x14ac:dyDescent="0.25">
      <c r="A14">
        <v>13</v>
      </c>
      <c r="B14" t="s">
        <v>378</v>
      </c>
      <c r="C14" t="s">
        <v>419</v>
      </c>
      <c r="F14" t="s">
        <v>319</v>
      </c>
      <c r="G14" t="s">
        <v>365</v>
      </c>
    </row>
    <row r="15" spans="1:7" x14ac:dyDescent="0.25">
      <c r="A15">
        <v>14</v>
      </c>
      <c r="B15" t="s">
        <v>379</v>
      </c>
      <c r="C15" t="s">
        <v>425</v>
      </c>
      <c r="F15" t="s">
        <v>320</v>
      </c>
      <c r="G15" t="s">
        <v>365</v>
      </c>
    </row>
    <row r="16" spans="1:7" x14ac:dyDescent="0.25">
      <c r="A16">
        <v>15</v>
      </c>
      <c r="B16" t="s">
        <v>380</v>
      </c>
      <c r="C16" t="s">
        <v>426</v>
      </c>
      <c r="F16" t="s">
        <v>321</v>
      </c>
      <c r="G16" t="s">
        <v>365</v>
      </c>
    </row>
    <row r="17" spans="1:7" x14ac:dyDescent="0.25">
      <c r="A17">
        <v>16</v>
      </c>
      <c r="B17" t="s">
        <v>381</v>
      </c>
      <c r="C17" t="s">
        <v>427</v>
      </c>
      <c r="F17" t="s">
        <v>322</v>
      </c>
      <c r="G17" t="s">
        <v>365</v>
      </c>
    </row>
    <row r="18" spans="1:7" x14ac:dyDescent="0.25">
      <c r="A18">
        <v>17</v>
      </c>
      <c r="B18" t="s">
        <v>382</v>
      </c>
      <c r="C18" t="s">
        <v>428</v>
      </c>
      <c r="F18" t="s">
        <v>323</v>
      </c>
      <c r="G18" t="s">
        <v>365</v>
      </c>
    </row>
    <row r="19" spans="1:7" x14ac:dyDescent="0.25">
      <c r="A19">
        <v>18</v>
      </c>
      <c r="B19" t="s">
        <v>0</v>
      </c>
      <c r="C19" t="s">
        <v>462</v>
      </c>
      <c r="F19" t="s">
        <v>324</v>
      </c>
      <c r="G19" t="s">
        <v>365</v>
      </c>
    </row>
    <row r="20" spans="1:7" x14ac:dyDescent="0.25">
      <c r="A20">
        <v>19</v>
      </c>
      <c r="B20" t="s">
        <v>383</v>
      </c>
      <c r="C20" t="s">
        <v>429</v>
      </c>
      <c r="F20" t="s">
        <v>325</v>
      </c>
      <c r="G20" t="s">
        <v>365</v>
      </c>
    </row>
    <row r="21" spans="1:7" x14ac:dyDescent="0.25">
      <c r="A21">
        <v>20</v>
      </c>
      <c r="B21" t="s">
        <v>384</v>
      </c>
      <c r="C21" t="s">
        <v>430</v>
      </c>
      <c r="F21" t="s">
        <v>326</v>
      </c>
      <c r="G21" t="s">
        <v>365</v>
      </c>
    </row>
    <row r="22" spans="1:7" x14ac:dyDescent="0.25">
      <c r="A22">
        <v>21</v>
      </c>
      <c r="B22" t="s">
        <v>385</v>
      </c>
      <c r="C22" t="s">
        <v>431</v>
      </c>
      <c r="F22" t="s">
        <v>327</v>
      </c>
      <c r="G22" t="s">
        <v>365</v>
      </c>
    </row>
    <row r="23" spans="1:7" x14ac:dyDescent="0.25">
      <c r="A23">
        <v>22</v>
      </c>
      <c r="B23" t="s">
        <v>386</v>
      </c>
      <c r="C23" t="s">
        <v>432</v>
      </c>
      <c r="F23" t="s">
        <v>328</v>
      </c>
      <c r="G23" t="s">
        <v>365</v>
      </c>
    </row>
    <row r="24" spans="1:7" x14ac:dyDescent="0.25">
      <c r="A24">
        <v>23</v>
      </c>
      <c r="B24" t="s">
        <v>387</v>
      </c>
      <c r="C24" t="s">
        <v>433</v>
      </c>
      <c r="F24" t="s">
        <v>329</v>
      </c>
      <c r="G24" t="s">
        <v>365</v>
      </c>
    </row>
    <row r="25" spans="1:7" x14ac:dyDescent="0.25">
      <c r="A25">
        <v>24</v>
      </c>
      <c r="B25" t="s">
        <v>388</v>
      </c>
      <c r="C25" t="s">
        <v>434</v>
      </c>
      <c r="F25" t="s">
        <v>330</v>
      </c>
      <c r="G25" t="s">
        <v>365</v>
      </c>
    </row>
    <row r="26" spans="1:7" x14ac:dyDescent="0.25">
      <c r="A26">
        <v>25</v>
      </c>
      <c r="B26" t="s">
        <v>389</v>
      </c>
      <c r="C26" t="s">
        <v>435</v>
      </c>
      <c r="F26" t="s">
        <v>331</v>
      </c>
      <c r="G26" t="s">
        <v>365</v>
      </c>
    </row>
    <row r="27" spans="1:7" x14ac:dyDescent="0.25">
      <c r="A27">
        <v>26</v>
      </c>
      <c r="B27" t="s">
        <v>390</v>
      </c>
      <c r="C27" t="s">
        <v>436</v>
      </c>
      <c r="F27" t="s">
        <v>332</v>
      </c>
      <c r="G27" t="s">
        <v>365</v>
      </c>
    </row>
    <row r="28" spans="1:7" x14ac:dyDescent="0.25">
      <c r="A28">
        <v>27</v>
      </c>
      <c r="B28" t="s">
        <v>391</v>
      </c>
      <c r="C28" t="s">
        <v>437</v>
      </c>
      <c r="F28" t="s">
        <v>333</v>
      </c>
      <c r="G28" t="s">
        <v>365</v>
      </c>
    </row>
    <row r="29" spans="1:7" x14ac:dyDescent="0.25">
      <c r="A29">
        <v>28</v>
      </c>
      <c r="B29" t="s">
        <v>392</v>
      </c>
      <c r="C29" t="s">
        <v>438</v>
      </c>
      <c r="F29" t="s">
        <v>334</v>
      </c>
      <c r="G29" t="s">
        <v>365</v>
      </c>
    </row>
    <row r="30" spans="1:7" x14ac:dyDescent="0.25">
      <c r="A30">
        <v>29</v>
      </c>
      <c r="B30" t="s">
        <v>393</v>
      </c>
      <c r="C30" t="s">
        <v>439</v>
      </c>
      <c r="F30" t="s">
        <v>335</v>
      </c>
      <c r="G30" t="s">
        <v>365</v>
      </c>
    </row>
    <row r="31" spans="1:7" x14ac:dyDescent="0.25">
      <c r="A31">
        <v>30</v>
      </c>
      <c r="B31" t="s">
        <v>20</v>
      </c>
      <c r="C31" t="s">
        <v>440</v>
      </c>
      <c r="F31" t="s">
        <v>336</v>
      </c>
      <c r="G31" t="s">
        <v>365</v>
      </c>
    </row>
    <row r="32" spans="1:7" x14ac:dyDescent="0.25">
      <c r="A32">
        <v>31</v>
      </c>
      <c r="B32" t="s">
        <v>394</v>
      </c>
      <c r="C32" t="s">
        <v>441</v>
      </c>
      <c r="F32" t="s">
        <v>337</v>
      </c>
      <c r="G32" t="s">
        <v>365</v>
      </c>
    </row>
    <row r="33" spans="1:7" x14ac:dyDescent="0.25">
      <c r="A33">
        <v>32</v>
      </c>
      <c r="B33" t="s">
        <v>3</v>
      </c>
      <c r="C33" t="s">
        <v>442</v>
      </c>
      <c r="F33" t="s">
        <v>338</v>
      </c>
      <c r="G33" t="s">
        <v>365</v>
      </c>
    </row>
    <row r="34" spans="1:7" x14ac:dyDescent="0.25">
      <c r="A34">
        <v>33</v>
      </c>
      <c r="B34" t="s">
        <v>395</v>
      </c>
      <c r="C34" t="s">
        <v>443</v>
      </c>
      <c r="F34" t="s">
        <v>303</v>
      </c>
      <c r="G34" t="s">
        <v>365</v>
      </c>
    </row>
    <row r="35" spans="1:7" x14ac:dyDescent="0.25">
      <c r="A35">
        <v>34</v>
      </c>
      <c r="B35" t="s">
        <v>396</v>
      </c>
      <c r="C35" t="s">
        <v>444</v>
      </c>
      <c r="F35" t="s">
        <v>339</v>
      </c>
      <c r="G35" t="s">
        <v>365</v>
      </c>
    </row>
    <row r="36" spans="1:7" x14ac:dyDescent="0.25">
      <c r="A36">
        <v>35</v>
      </c>
      <c r="B36" t="s">
        <v>17</v>
      </c>
      <c r="C36" t="s">
        <v>445</v>
      </c>
      <c r="F36" t="s">
        <v>340</v>
      </c>
      <c r="G36" t="s">
        <v>365</v>
      </c>
    </row>
    <row r="37" spans="1:7" x14ac:dyDescent="0.25">
      <c r="A37">
        <v>36</v>
      </c>
      <c r="B37" t="s">
        <v>31</v>
      </c>
      <c r="C37" t="s">
        <v>66</v>
      </c>
      <c r="F37" t="s">
        <v>341</v>
      </c>
      <c r="G37" t="s">
        <v>365</v>
      </c>
    </row>
    <row r="38" spans="1:7" x14ac:dyDescent="0.25">
      <c r="A38">
        <v>37</v>
      </c>
      <c r="B38" t="s">
        <v>33</v>
      </c>
      <c r="C38" t="s">
        <v>68</v>
      </c>
      <c r="F38" t="s">
        <v>342</v>
      </c>
      <c r="G38" t="s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6000B-E798-4894-906C-2694E9F997A1}">
  <dimension ref="A1:G10"/>
  <sheetViews>
    <sheetView workbookViewId="0">
      <selection activeCell="B9" sqref="B9"/>
    </sheetView>
  </sheetViews>
  <sheetFormatPr defaultRowHeight="15" x14ac:dyDescent="0.25"/>
  <cols>
    <col min="1" max="1" width="5.85546875" bestFit="1" customWidth="1"/>
    <col min="2" max="2" width="22.7109375" bestFit="1" customWidth="1"/>
    <col min="3" max="3" width="67.7109375" bestFit="1" customWidth="1"/>
    <col min="4" max="4" width="9.42578125" bestFit="1" customWidth="1"/>
    <col min="5" max="5" width="6.28515625" bestFit="1" customWidth="1"/>
    <col min="6" max="6" width="20.42578125" bestFit="1" customWidth="1"/>
    <col min="7" max="7" width="17.7109375" bestFit="1" customWidth="1"/>
  </cols>
  <sheetData>
    <row r="1" spans="1:7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>
        <v>1</v>
      </c>
      <c r="B2" t="s">
        <v>397</v>
      </c>
      <c r="C2" t="s">
        <v>447</v>
      </c>
      <c r="F2" t="s">
        <v>343</v>
      </c>
      <c r="G2" t="s">
        <v>364</v>
      </c>
    </row>
    <row r="3" spans="1:7" x14ac:dyDescent="0.25">
      <c r="A3">
        <v>2</v>
      </c>
      <c r="B3" t="s">
        <v>376</v>
      </c>
      <c r="C3" t="s">
        <v>71</v>
      </c>
      <c r="F3" t="s">
        <v>298</v>
      </c>
      <c r="G3" t="s">
        <v>364</v>
      </c>
    </row>
    <row r="4" spans="1:7" x14ac:dyDescent="0.25">
      <c r="A4">
        <v>3</v>
      </c>
      <c r="B4" t="s">
        <v>0</v>
      </c>
      <c r="C4" t="s">
        <v>462</v>
      </c>
      <c r="F4" t="s">
        <v>324</v>
      </c>
      <c r="G4" t="s">
        <v>364</v>
      </c>
    </row>
    <row r="5" spans="1:7" x14ac:dyDescent="0.25">
      <c r="A5">
        <v>4</v>
      </c>
      <c r="B5" t="s">
        <v>398</v>
      </c>
      <c r="C5" t="s">
        <v>448</v>
      </c>
      <c r="F5" t="s">
        <v>344</v>
      </c>
      <c r="G5" t="s">
        <v>364</v>
      </c>
    </row>
    <row r="6" spans="1:7" x14ac:dyDescent="0.25">
      <c r="A6">
        <v>5</v>
      </c>
      <c r="B6" t="s">
        <v>399</v>
      </c>
      <c r="C6" t="s">
        <v>431</v>
      </c>
      <c r="F6" t="s">
        <v>345</v>
      </c>
      <c r="G6" t="s">
        <v>364</v>
      </c>
    </row>
    <row r="7" spans="1:7" x14ac:dyDescent="0.25">
      <c r="A7">
        <v>6</v>
      </c>
      <c r="B7" t="s">
        <v>400</v>
      </c>
      <c r="C7" t="s">
        <v>449</v>
      </c>
      <c r="F7" t="s">
        <v>346</v>
      </c>
      <c r="G7" t="s">
        <v>364</v>
      </c>
    </row>
    <row r="8" spans="1:7" x14ac:dyDescent="0.25">
      <c r="A8">
        <v>7</v>
      </c>
      <c r="B8" t="s">
        <v>401</v>
      </c>
      <c r="C8" t="s">
        <v>450</v>
      </c>
      <c r="F8" t="s">
        <v>347</v>
      </c>
      <c r="G8" t="s">
        <v>364</v>
      </c>
    </row>
    <row r="9" spans="1:7" x14ac:dyDescent="0.25">
      <c r="A9">
        <v>8</v>
      </c>
      <c r="B9" t="s">
        <v>402</v>
      </c>
      <c r="C9" t="s">
        <v>451</v>
      </c>
      <c r="F9" t="s">
        <v>348</v>
      </c>
      <c r="G9" t="s">
        <v>364</v>
      </c>
    </row>
    <row r="10" spans="1:7" x14ac:dyDescent="0.25">
      <c r="A10">
        <v>9</v>
      </c>
      <c r="B10" t="s">
        <v>403</v>
      </c>
      <c r="C10" t="s">
        <v>452</v>
      </c>
      <c r="F10" t="s">
        <v>349</v>
      </c>
      <c r="G10" t="s">
        <v>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EA63-A0B8-4257-8511-C6902DD83A54}">
  <dimension ref="A1:G19"/>
  <sheetViews>
    <sheetView workbookViewId="0">
      <selection activeCell="B4" sqref="B4"/>
    </sheetView>
  </sheetViews>
  <sheetFormatPr defaultRowHeight="15" x14ac:dyDescent="0.25"/>
  <cols>
    <col min="1" max="1" width="5.85546875" bestFit="1" customWidth="1"/>
    <col min="2" max="2" width="15.42578125" bestFit="1" customWidth="1"/>
    <col min="3" max="3" width="74.140625" bestFit="1" customWidth="1"/>
    <col min="4" max="4" width="9.42578125" bestFit="1" customWidth="1"/>
    <col min="5" max="5" width="6.28515625" bestFit="1" customWidth="1"/>
    <col min="6" max="6" width="14.5703125" bestFit="1" customWidth="1"/>
    <col min="7" max="7" width="8.85546875" bestFit="1" customWidth="1"/>
  </cols>
  <sheetData>
    <row r="1" spans="1:7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>
        <v>1</v>
      </c>
      <c r="B2" t="s">
        <v>404</v>
      </c>
      <c r="C2" t="s">
        <v>453</v>
      </c>
      <c r="F2" t="s">
        <v>350</v>
      </c>
      <c r="G2" t="s">
        <v>363</v>
      </c>
    </row>
    <row r="3" spans="1:7" x14ac:dyDescent="0.25">
      <c r="A3">
        <v>2</v>
      </c>
      <c r="B3" t="s">
        <v>405</v>
      </c>
      <c r="C3" t="s">
        <v>454</v>
      </c>
      <c r="F3" t="s">
        <v>351</v>
      </c>
      <c r="G3" t="s">
        <v>363</v>
      </c>
    </row>
    <row r="4" spans="1:7" x14ac:dyDescent="0.25">
      <c r="A4">
        <v>3</v>
      </c>
      <c r="B4" t="s">
        <v>0</v>
      </c>
      <c r="C4" t="s">
        <v>462</v>
      </c>
      <c r="F4" t="s">
        <v>324</v>
      </c>
      <c r="G4" t="s">
        <v>363</v>
      </c>
    </row>
    <row r="5" spans="1:7" x14ac:dyDescent="0.25">
      <c r="A5">
        <v>4</v>
      </c>
      <c r="B5" t="s">
        <v>406</v>
      </c>
      <c r="C5" t="s">
        <v>455</v>
      </c>
      <c r="F5" t="s">
        <v>352</v>
      </c>
      <c r="G5" t="s">
        <v>363</v>
      </c>
    </row>
    <row r="6" spans="1:7" x14ac:dyDescent="0.25">
      <c r="A6">
        <v>5</v>
      </c>
      <c r="B6" t="s">
        <v>407</v>
      </c>
      <c r="C6" t="s">
        <v>456</v>
      </c>
      <c r="F6" t="s">
        <v>353</v>
      </c>
      <c r="G6" t="s">
        <v>363</v>
      </c>
    </row>
    <row r="7" spans="1:7" x14ac:dyDescent="0.25">
      <c r="A7">
        <v>6</v>
      </c>
      <c r="B7" t="s">
        <v>34</v>
      </c>
      <c r="C7" t="s">
        <v>457</v>
      </c>
      <c r="F7" t="s">
        <v>354</v>
      </c>
      <c r="G7" t="s">
        <v>363</v>
      </c>
    </row>
    <row r="8" spans="1:7" x14ac:dyDescent="0.25">
      <c r="A8">
        <v>7</v>
      </c>
      <c r="B8" t="s">
        <v>408</v>
      </c>
      <c r="C8" t="s">
        <v>439</v>
      </c>
      <c r="F8" t="s">
        <v>355</v>
      </c>
      <c r="G8" t="s">
        <v>363</v>
      </c>
    </row>
    <row r="9" spans="1:7" x14ac:dyDescent="0.25">
      <c r="A9">
        <v>8</v>
      </c>
      <c r="B9" t="s">
        <v>409</v>
      </c>
      <c r="C9" t="s">
        <v>458</v>
      </c>
      <c r="F9" t="s">
        <v>356</v>
      </c>
      <c r="G9" t="s">
        <v>363</v>
      </c>
    </row>
    <row r="10" spans="1:7" x14ac:dyDescent="0.25">
      <c r="A10">
        <v>9</v>
      </c>
      <c r="B10" t="s">
        <v>410</v>
      </c>
      <c r="C10" t="s">
        <v>459</v>
      </c>
      <c r="F10" t="s">
        <v>357</v>
      </c>
      <c r="G10" t="s">
        <v>363</v>
      </c>
    </row>
    <row r="11" spans="1:7" x14ac:dyDescent="0.25">
      <c r="A11">
        <v>10</v>
      </c>
      <c r="B11" t="s">
        <v>411</v>
      </c>
      <c r="C11" t="s">
        <v>461</v>
      </c>
      <c r="F11" t="s">
        <v>358</v>
      </c>
      <c r="G11" t="s">
        <v>363</v>
      </c>
    </row>
    <row r="12" spans="1:7" x14ac:dyDescent="0.25">
      <c r="A12">
        <v>11</v>
      </c>
      <c r="B12" t="s">
        <v>412</v>
      </c>
      <c r="C12" t="s">
        <v>430</v>
      </c>
      <c r="F12" t="s">
        <v>359</v>
      </c>
      <c r="G12" t="s">
        <v>363</v>
      </c>
    </row>
    <row r="13" spans="1:7" x14ac:dyDescent="0.25">
      <c r="A13">
        <v>12</v>
      </c>
      <c r="B13" t="s">
        <v>413</v>
      </c>
      <c r="C13" t="s">
        <v>431</v>
      </c>
      <c r="F13" t="s">
        <v>360</v>
      </c>
      <c r="G13" t="s">
        <v>363</v>
      </c>
    </row>
    <row r="14" spans="1:7" x14ac:dyDescent="0.25">
      <c r="A14">
        <v>13</v>
      </c>
      <c r="B14" t="s">
        <v>414</v>
      </c>
      <c r="C14" t="s">
        <v>432</v>
      </c>
      <c r="F14" t="s">
        <v>361</v>
      </c>
      <c r="G14" t="s">
        <v>363</v>
      </c>
    </row>
    <row r="15" spans="1:7" x14ac:dyDescent="0.25">
      <c r="A15">
        <v>14</v>
      </c>
      <c r="B15" t="s">
        <v>3</v>
      </c>
      <c r="C15" t="s">
        <v>442</v>
      </c>
      <c r="F15" t="s">
        <v>338</v>
      </c>
      <c r="G15" t="s">
        <v>363</v>
      </c>
    </row>
    <row r="16" spans="1:7" x14ac:dyDescent="0.25">
      <c r="A16">
        <v>15</v>
      </c>
      <c r="B16" t="s">
        <v>395</v>
      </c>
      <c r="C16" t="s">
        <v>443</v>
      </c>
      <c r="F16" t="s">
        <v>303</v>
      </c>
      <c r="G16" t="s">
        <v>363</v>
      </c>
    </row>
    <row r="17" spans="1:7" x14ac:dyDescent="0.25">
      <c r="A17">
        <v>16</v>
      </c>
      <c r="B17" t="s">
        <v>17</v>
      </c>
      <c r="C17" t="s">
        <v>445</v>
      </c>
      <c r="F17" t="s">
        <v>340</v>
      </c>
      <c r="G17" t="s">
        <v>363</v>
      </c>
    </row>
    <row r="18" spans="1:7" x14ac:dyDescent="0.25">
      <c r="A18">
        <v>17</v>
      </c>
      <c r="B18" t="s">
        <v>12</v>
      </c>
      <c r="C18" t="s">
        <v>460</v>
      </c>
      <c r="F18" t="s">
        <v>362</v>
      </c>
      <c r="G18" t="s">
        <v>363</v>
      </c>
    </row>
    <row r="19" spans="1:7" x14ac:dyDescent="0.25">
      <c r="A19">
        <v>18</v>
      </c>
      <c r="B19" t="s">
        <v>33</v>
      </c>
      <c r="C19" t="s">
        <v>68</v>
      </c>
      <c r="F19" t="s">
        <v>342</v>
      </c>
      <c r="G19" t="s">
        <v>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1415-311F-4117-A83F-D11A10131564}">
  <dimension ref="A1:G16"/>
  <sheetViews>
    <sheetView workbookViewId="0">
      <selection activeCell="B2" sqref="B2:G2"/>
    </sheetView>
  </sheetViews>
  <sheetFormatPr defaultRowHeight="15" x14ac:dyDescent="0.25"/>
  <cols>
    <col min="1" max="1" width="5.85546875" bestFit="1" customWidth="1"/>
    <col min="2" max="2" width="26.7109375" bestFit="1" customWidth="1"/>
    <col min="3" max="3" width="74.5703125" bestFit="1" customWidth="1"/>
    <col min="6" max="6" width="23.42578125" bestFit="1" customWidth="1"/>
    <col min="7" max="7" width="13.7109375" bestFit="1" customWidth="1"/>
  </cols>
  <sheetData>
    <row r="1" spans="1:7" x14ac:dyDescent="0.25">
      <c r="A1" s="4" t="s">
        <v>61</v>
      </c>
      <c r="B1" s="4" t="s">
        <v>176</v>
      </c>
      <c r="C1" s="4" t="s">
        <v>177</v>
      </c>
      <c r="D1" s="4" t="s">
        <v>178</v>
      </c>
      <c r="E1" s="4" t="s">
        <v>179</v>
      </c>
      <c r="F1" s="4" t="s">
        <v>292</v>
      </c>
      <c r="G1" s="4" t="s">
        <v>293</v>
      </c>
    </row>
    <row r="2" spans="1:7" x14ac:dyDescent="0.25">
      <c r="A2" s="6">
        <v>1</v>
      </c>
      <c r="B2" s="6" t="s">
        <v>512</v>
      </c>
      <c r="C2" s="6" t="s">
        <v>511</v>
      </c>
      <c r="D2" s="4"/>
      <c r="E2" s="4"/>
      <c r="F2" s="6" t="s">
        <v>510</v>
      </c>
      <c r="G2" t="s">
        <v>304</v>
      </c>
    </row>
    <row r="3" spans="1:7" x14ac:dyDescent="0.25">
      <c r="A3" s="6">
        <v>2</v>
      </c>
      <c r="B3" s="6" t="s">
        <v>518</v>
      </c>
      <c r="C3" s="6" t="s">
        <v>521</v>
      </c>
      <c r="D3" s="4"/>
      <c r="E3" s="4"/>
      <c r="F3" s="6" t="s">
        <v>522</v>
      </c>
      <c r="G3" t="s">
        <v>304</v>
      </c>
    </row>
    <row r="4" spans="1:7" x14ac:dyDescent="0.25">
      <c r="A4" s="7">
        <v>3</v>
      </c>
      <c r="B4" t="s">
        <v>38</v>
      </c>
      <c r="C4" t="s">
        <v>75</v>
      </c>
      <c r="F4" t="s">
        <v>467</v>
      </c>
      <c r="G4" t="s">
        <v>304</v>
      </c>
    </row>
    <row r="5" spans="1:7" x14ac:dyDescent="0.25">
      <c r="A5" s="6">
        <v>4</v>
      </c>
      <c r="B5" t="s">
        <v>39</v>
      </c>
      <c r="C5" t="s">
        <v>76</v>
      </c>
      <c r="F5" t="s">
        <v>477</v>
      </c>
      <c r="G5" t="s">
        <v>304</v>
      </c>
    </row>
    <row r="6" spans="1:7" x14ac:dyDescent="0.25">
      <c r="A6" s="6">
        <v>5</v>
      </c>
      <c r="B6" t="s">
        <v>29</v>
      </c>
      <c r="C6" t="s">
        <v>64</v>
      </c>
      <c r="F6" t="s">
        <v>463</v>
      </c>
      <c r="G6" t="s">
        <v>304</v>
      </c>
    </row>
    <row r="7" spans="1:7" x14ac:dyDescent="0.25">
      <c r="A7" s="7">
        <v>6</v>
      </c>
      <c r="B7" t="s">
        <v>31</v>
      </c>
      <c r="C7" t="s">
        <v>66</v>
      </c>
      <c r="F7" t="s">
        <v>341</v>
      </c>
      <c r="G7" t="s">
        <v>304</v>
      </c>
    </row>
    <row r="8" spans="1:7" x14ac:dyDescent="0.25">
      <c r="A8" s="6">
        <v>7</v>
      </c>
      <c r="B8" t="s">
        <v>32</v>
      </c>
      <c r="C8" t="s">
        <v>67</v>
      </c>
      <c r="F8" t="s">
        <v>464</v>
      </c>
      <c r="G8" t="s">
        <v>304</v>
      </c>
    </row>
    <row r="9" spans="1:7" x14ac:dyDescent="0.25">
      <c r="A9" s="6">
        <v>8</v>
      </c>
      <c r="B9" t="s">
        <v>33</v>
      </c>
      <c r="C9" t="s">
        <v>68</v>
      </c>
      <c r="F9" t="s">
        <v>342</v>
      </c>
      <c r="G9" t="s">
        <v>304</v>
      </c>
    </row>
    <row r="10" spans="1:7" x14ac:dyDescent="0.25">
      <c r="A10" s="7">
        <v>9</v>
      </c>
      <c r="B10" t="s">
        <v>34</v>
      </c>
      <c r="C10" t="s">
        <v>77</v>
      </c>
      <c r="F10" t="s">
        <v>354</v>
      </c>
      <c r="G10" t="s">
        <v>304</v>
      </c>
    </row>
    <row r="11" spans="1:7" x14ac:dyDescent="0.25">
      <c r="A11" s="6">
        <v>10</v>
      </c>
      <c r="B11" t="s">
        <v>35</v>
      </c>
      <c r="C11" t="s">
        <v>78</v>
      </c>
      <c r="F11" t="s">
        <v>465</v>
      </c>
      <c r="G11" t="s">
        <v>304</v>
      </c>
    </row>
    <row r="12" spans="1:7" x14ac:dyDescent="0.25">
      <c r="A12" s="6">
        <v>11</v>
      </c>
      <c r="B12" t="s">
        <v>30</v>
      </c>
      <c r="C12" t="s">
        <v>65</v>
      </c>
      <c r="F12" t="s">
        <v>466</v>
      </c>
      <c r="G12" t="s">
        <v>304</v>
      </c>
    </row>
    <row r="13" spans="1:7" x14ac:dyDescent="0.25">
      <c r="A13" s="6">
        <v>12</v>
      </c>
      <c r="B13" t="s">
        <v>472</v>
      </c>
      <c r="C13" t="s">
        <v>520</v>
      </c>
      <c r="F13" t="s">
        <v>470</v>
      </c>
      <c r="G13" t="s">
        <v>304</v>
      </c>
    </row>
    <row r="14" spans="1:7" x14ac:dyDescent="0.25">
      <c r="A14" s="6">
        <v>13</v>
      </c>
      <c r="B14" t="s">
        <v>376</v>
      </c>
      <c r="C14" t="s">
        <v>71</v>
      </c>
      <c r="F14" t="s">
        <v>298</v>
      </c>
      <c r="G14" t="s">
        <v>304</v>
      </c>
    </row>
    <row r="15" spans="1:7" x14ac:dyDescent="0.25">
      <c r="A15" s="7">
        <v>14</v>
      </c>
      <c r="B15" t="s">
        <v>515</v>
      </c>
      <c r="C15" t="s">
        <v>517</v>
      </c>
      <c r="F15" t="s">
        <v>513</v>
      </c>
      <c r="G15" t="s">
        <v>304</v>
      </c>
    </row>
    <row r="16" spans="1:7" x14ac:dyDescent="0.25">
      <c r="A16" s="6">
        <v>15</v>
      </c>
      <c r="B16" t="s">
        <v>516</v>
      </c>
      <c r="C16" t="s">
        <v>519</v>
      </c>
      <c r="F16" t="s">
        <v>514</v>
      </c>
      <c r="G16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B8C9-C767-453A-9D78-EE1C5660D6E3}">
  <dimension ref="A1:G20"/>
  <sheetViews>
    <sheetView workbookViewId="0">
      <selection activeCell="F20" sqref="F20"/>
    </sheetView>
  </sheetViews>
  <sheetFormatPr defaultRowHeight="15" x14ac:dyDescent="0.25"/>
  <cols>
    <col min="1" max="1" width="5.85546875" bestFit="1" customWidth="1"/>
    <col min="2" max="2" width="24.140625" bestFit="1" customWidth="1"/>
    <col min="3" max="3" width="151" bestFit="1" customWidth="1"/>
    <col min="4" max="4" width="9.42578125" bestFit="1" customWidth="1"/>
    <col min="5" max="5" width="6.28515625" bestFit="1" customWidth="1"/>
    <col min="6" max="6" width="15.85546875" bestFit="1" customWidth="1"/>
    <col min="7" max="7" width="8.85546875" bestFit="1" customWidth="1"/>
  </cols>
  <sheetData>
    <row r="1" spans="1:7" x14ac:dyDescent="0.25">
      <c r="A1" t="s">
        <v>61</v>
      </c>
      <c r="B1" t="s">
        <v>176</v>
      </c>
      <c r="C1" t="s">
        <v>177</v>
      </c>
      <c r="D1" t="s">
        <v>178</v>
      </c>
      <c r="E1" t="s">
        <v>179</v>
      </c>
      <c r="F1" t="s">
        <v>292</v>
      </c>
      <c r="G1" t="s">
        <v>293</v>
      </c>
    </row>
    <row r="2" spans="1:7" x14ac:dyDescent="0.25">
      <c r="A2">
        <v>1</v>
      </c>
      <c r="B2" t="s">
        <v>492</v>
      </c>
      <c r="C2" t="s">
        <v>525</v>
      </c>
      <c r="F2" t="s">
        <v>479</v>
      </c>
      <c r="G2" t="s">
        <v>303</v>
      </c>
    </row>
    <row r="3" spans="1:7" x14ac:dyDescent="0.25">
      <c r="A3">
        <v>2</v>
      </c>
      <c r="B3" t="s">
        <v>493</v>
      </c>
      <c r="C3" t="s">
        <v>526</v>
      </c>
      <c r="F3" t="s">
        <v>490</v>
      </c>
      <c r="G3" t="s">
        <v>303</v>
      </c>
    </row>
    <row r="4" spans="1:7" x14ac:dyDescent="0.25">
      <c r="A4">
        <v>3</v>
      </c>
      <c r="B4" t="s">
        <v>16</v>
      </c>
      <c r="C4" t="s">
        <v>527</v>
      </c>
      <c r="F4" t="s">
        <v>296</v>
      </c>
      <c r="G4" t="s">
        <v>303</v>
      </c>
    </row>
    <row r="5" spans="1:7" x14ac:dyDescent="0.25">
      <c r="A5">
        <v>4</v>
      </c>
      <c r="B5" t="s">
        <v>18</v>
      </c>
      <c r="C5" t="s">
        <v>526</v>
      </c>
      <c r="F5" t="s">
        <v>490</v>
      </c>
      <c r="G5" t="s">
        <v>303</v>
      </c>
    </row>
    <row r="6" spans="1:7" x14ac:dyDescent="0.25">
      <c r="A6">
        <v>5</v>
      </c>
      <c r="B6" t="s">
        <v>505</v>
      </c>
      <c r="C6" t="s">
        <v>527</v>
      </c>
      <c r="F6" t="s">
        <v>296</v>
      </c>
      <c r="G6" t="s">
        <v>303</v>
      </c>
    </row>
    <row r="7" spans="1:7" x14ac:dyDescent="0.25">
      <c r="A7">
        <v>6</v>
      </c>
      <c r="B7" t="s">
        <v>504</v>
      </c>
      <c r="C7" t="s">
        <v>528</v>
      </c>
      <c r="F7" t="s">
        <v>489</v>
      </c>
      <c r="G7" t="s">
        <v>303</v>
      </c>
    </row>
    <row r="8" spans="1:7" x14ac:dyDescent="0.25">
      <c r="A8">
        <v>7</v>
      </c>
      <c r="B8" t="s">
        <v>503</v>
      </c>
      <c r="C8" t="s">
        <v>528</v>
      </c>
      <c r="F8" t="s">
        <v>488</v>
      </c>
      <c r="G8" t="s">
        <v>303</v>
      </c>
    </row>
    <row r="9" spans="1:7" x14ac:dyDescent="0.25">
      <c r="A9">
        <v>8</v>
      </c>
      <c r="B9" t="s">
        <v>502</v>
      </c>
      <c r="C9" t="s">
        <v>528</v>
      </c>
      <c r="F9" t="s">
        <v>487</v>
      </c>
      <c r="G9" t="s">
        <v>303</v>
      </c>
    </row>
    <row r="10" spans="1:7" x14ac:dyDescent="0.25">
      <c r="A10">
        <v>9</v>
      </c>
      <c r="B10" t="s">
        <v>501</v>
      </c>
      <c r="C10" t="s">
        <v>528</v>
      </c>
      <c r="F10" t="s">
        <v>486</v>
      </c>
      <c r="G10" t="s">
        <v>303</v>
      </c>
    </row>
    <row r="11" spans="1:7" x14ac:dyDescent="0.25">
      <c r="A11">
        <v>10</v>
      </c>
      <c r="B11" t="s">
        <v>506</v>
      </c>
      <c r="C11" t="s">
        <v>528</v>
      </c>
      <c r="F11" t="s">
        <v>491</v>
      </c>
      <c r="G11" t="s">
        <v>303</v>
      </c>
    </row>
    <row r="12" spans="1:7" x14ac:dyDescent="0.25">
      <c r="A12">
        <v>11</v>
      </c>
      <c r="B12" t="s">
        <v>500</v>
      </c>
      <c r="C12" t="s">
        <v>528</v>
      </c>
      <c r="F12" t="s">
        <v>485</v>
      </c>
      <c r="G12" t="s">
        <v>303</v>
      </c>
    </row>
    <row r="13" spans="1:7" x14ac:dyDescent="0.25">
      <c r="A13">
        <v>12</v>
      </c>
      <c r="B13" t="s">
        <v>495</v>
      </c>
      <c r="C13" t="s">
        <v>528</v>
      </c>
      <c r="F13" t="s">
        <v>481</v>
      </c>
      <c r="G13" t="s">
        <v>303</v>
      </c>
    </row>
    <row r="14" spans="1:7" x14ac:dyDescent="0.25">
      <c r="A14">
        <v>13</v>
      </c>
      <c r="B14" t="s">
        <v>499</v>
      </c>
      <c r="C14" t="s">
        <v>528</v>
      </c>
      <c r="F14" t="s">
        <v>484</v>
      </c>
      <c r="G14" t="s">
        <v>303</v>
      </c>
    </row>
    <row r="15" spans="1:7" x14ac:dyDescent="0.25">
      <c r="A15">
        <v>14</v>
      </c>
      <c r="B15" t="s">
        <v>395</v>
      </c>
      <c r="C15" t="s">
        <v>528</v>
      </c>
      <c r="F15" t="s">
        <v>303</v>
      </c>
      <c r="G15" t="s">
        <v>303</v>
      </c>
    </row>
    <row r="16" spans="1:7" x14ac:dyDescent="0.25">
      <c r="A16">
        <v>15</v>
      </c>
      <c r="B16" t="s">
        <v>498</v>
      </c>
      <c r="C16" t="s">
        <v>528</v>
      </c>
      <c r="F16" t="s">
        <v>483</v>
      </c>
      <c r="G16" t="s">
        <v>303</v>
      </c>
    </row>
    <row r="17" spans="1:7" x14ac:dyDescent="0.25">
      <c r="A17">
        <v>16</v>
      </c>
      <c r="B17" t="s">
        <v>497</v>
      </c>
      <c r="C17" t="s">
        <v>528</v>
      </c>
      <c r="F17" t="s">
        <v>482</v>
      </c>
      <c r="G17" t="s">
        <v>303</v>
      </c>
    </row>
    <row r="18" spans="1:7" x14ac:dyDescent="0.25">
      <c r="A18">
        <v>17</v>
      </c>
      <c r="B18" t="s">
        <v>19</v>
      </c>
      <c r="C18" t="s">
        <v>524</v>
      </c>
      <c r="F18" t="s">
        <v>297</v>
      </c>
      <c r="G18" t="s">
        <v>303</v>
      </c>
    </row>
    <row r="19" spans="1:7" x14ac:dyDescent="0.25">
      <c r="A19">
        <v>18</v>
      </c>
      <c r="B19" t="s">
        <v>496</v>
      </c>
      <c r="C19" t="s">
        <v>524</v>
      </c>
      <c r="F19" t="s">
        <v>297</v>
      </c>
      <c r="G19" t="s">
        <v>303</v>
      </c>
    </row>
    <row r="20" spans="1:7" x14ac:dyDescent="0.25">
      <c r="A20">
        <v>19</v>
      </c>
      <c r="B20" t="s">
        <v>494</v>
      </c>
      <c r="C20" t="s">
        <v>523</v>
      </c>
      <c r="F20" t="s">
        <v>480</v>
      </c>
      <c r="G20" t="s">
        <v>303</v>
      </c>
    </row>
  </sheetData>
  <sortState xmlns:xlrd2="http://schemas.microsoft.com/office/spreadsheetml/2017/richdata2" ref="A2:G20">
    <sortCondition ref="A1:A2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2858-FA99-463E-B905-37C6B4C31147}">
  <dimension ref="A1:B58"/>
  <sheetViews>
    <sheetView workbookViewId="0">
      <selection activeCell="B12" sqref="B12"/>
    </sheetView>
  </sheetViews>
  <sheetFormatPr defaultRowHeight="15" x14ac:dyDescent="0.25"/>
  <cols>
    <col min="1" max="1" width="12.85546875" bestFit="1" customWidth="1"/>
    <col min="2" max="2" width="86.140625" bestFit="1" customWidth="1"/>
  </cols>
  <sheetData>
    <row r="1" spans="1:2" x14ac:dyDescent="0.25">
      <c r="A1" t="s">
        <v>180</v>
      </c>
      <c r="B1" t="s">
        <v>291</v>
      </c>
    </row>
    <row r="2" spans="1:2" x14ac:dyDescent="0.25">
      <c r="A2" t="s">
        <v>181</v>
      </c>
      <c r="B2" t="s">
        <v>182</v>
      </c>
    </row>
    <row r="3" spans="1:2" x14ac:dyDescent="0.25">
      <c r="A3" t="s">
        <v>183</v>
      </c>
      <c r="B3" t="s">
        <v>184</v>
      </c>
    </row>
    <row r="4" spans="1:2" x14ac:dyDescent="0.25">
      <c r="A4" t="s">
        <v>185</v>
      </c>
      <c r="B4" t="s">
        <v>186</v>
      </c>
    </row>
    <row r="5" spans="1:2" x14ac:dyDescent="0.25">
      <c r="A5" t="s">
        <v>187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191</v>
      </c>
      <c r="B7" t="s">
        <v>192</v>
      </c>
    </row>
    <row r="8" spans="1:2" x14ac:dyDescent="0.25">
      <c r="A8" t="s">
        <v>193</v>
      </c>
      <c r="B8" t="s">
        <v>194</v>
      </c>
    </row>
    <row r="9" spans="1:2" x14ac:dyDescent="0.25">
      <c r="A9" t="s">
        <v>195</v>
      </c>
      <c r="B9" t="s">
        <v>196</v>
      </c>
    </row>
    <row r="10" spans="1:2" x14ac:dyDescent="0.25">
      <c r="A10" t="s">
        <v>197</v>
      </c>
      <c r="B10" t="s">
        <v>198</v>
      </c>
    </row>
    <row r="11" spans="1:2" x14ac:dyDescent="0.25">
      <c r="A11" t="s">
        <v>199</v>
      </c>
      <c r="B11" t="s">
        <v>200</v>
      </c>
    </row>
    <row r="12" spans="1:2" x14ac:dyDescent="0.25">
      <c r="A12" t="s">
        <v>535</v>
      </c>
      <c r="B12" t="s">
        <v>536</v>
      </c>
    </row>
    <row r="13" spans="1:2" x14ac:dyDescent="0.25">
      <c r="A13" t="s">
        <v>201</v>
      </c>
      <c r="B13" t="s">
        <v>202</v>
      </c>
    </row>
    <row r="14" spans="1:2" x14ac:dyDescent="0.25">
      <c r="A14" t="s">
        <v>203</v>
      </c>
      <c r="B14" t="s">
        <v>204</v>
      </c>
    </row>
    <row r="15" spans="1:2" x14ac:dyDescent="0.25">
      <c r="A15" t="s">
        <v>205</v>
      </c>
      <c r="B15" t="s">
        <v>206</v>
      </c>
    </row>
    <row r="16" spans="1:2" x14ac:dyDescent="0.25">
      <c r="A16" t="s">
        <v>207</v>
      </c>
      <c r="B16" t="s">
        <v>208</v>
      </c>
    </row>
    <row r="17" spans="1:2" x14ac:dyDescent="0.25">
      <c r="A17" t="s">
        <v>209</v>
      </c>
      <c r="B17" t="s">
        <v>210</v>
      </c>
    </row>
    <row r="18" spans="1:2" x14ac:dyDescent="0.25">
      <c r="A18" t="s">
        <v>211</v>
      </c>
      <c r="B18" t="s">
        <v>212</v>
      </c>
    </row>
    <row r="19" spans="1:2" x14ac:dyDescent="0.25">
      <c r="A19" t="s">
        <v>213</v>
      </c>
      <c r="B19" t="s">
        <v>214</v>
      </c>
    </row>
    <row r="20" spans="1:2" x14ac:dyDescent="0.25">
      <c r="A20" t="s">
        <v>215</v>
      </c>
      <c r="B20" t="s">
        <v>216</v>
      </c>
    </row>
    <row r="21" spans="1:2" x14ac:dyDescent="0.25">
      <c r="A21" t="s">
        <v>217</v>
      </c>
      <c r="B21" t="s">
        <v>218</v>
      </c>
    </row>
    <row r="22" spans="1:2" x14ac:dyDescent="0.25">
      <c r="A22" t="s">
        <v>219</v>
      </c>
      <c r="B22" t="s">
        <v>220</v>
      </c>
    </row>
    <row r="23" spans="1:2" x14ac:dyDescent="0.25">
      <c r="A23" t="s">
        <v>221</v>
      </c>
      <c r="B23" t="s">
        <v>222</v>
      </c>
    </row>
    <row r="24" spans="1:2" x14ac:dyDescent="0.25">
      <c r="A24" t="s">
        <v>223</v>
      </c>
      <c r="B24" t="s">
        <v>224</v>
      </c>
    </row>
    <row r="25" spans="1:2" x14ac:dyDescent="0.25">
      <c r="A25" t="s">
        <v>225</v>
      </c>
      <c r="B25" t="s">
        <v>226</v>
      </c>
    </row>
    <row r="26" spans="1:2" x14ac:dyDescent="0.25">
      <c r="A26" t="s">
        <v>227</v>
      </c>
      <c r="B26" t="s">
        <v>228</v>
      </c>
    </row>
    <row r="27" spans="1:2" x14ac:dyDescent="0.25">
      <c r="A27" t="s">
        <v>229</v>
      </c>
      <c r="B27" t="s">
        <v>230</v>
      </c>
    </row>
    <row r="28" spans="1:2" x14ac:dyDescent="0.25">
      <c r="A28" t="s">
        <v>231</v>
      </c>
      <c r="B28" t="s">
        <v>232</v>
      </c>
    </row>
    <row r="29" spans="1:2" x14ac:dyDescent="0.25">
      <c r="A29" t="s">
        <v>233</v>
      </c>
      <c r="B29" t="s">
        <v>234</v>
      </c>
    </row>
    <row r="30" spans="1:2" x14ac:dyDescent="0.25">
      <c r="A30" t="s">
        <v>235</v>
      </c>
      <c r="B30" t="s">
        <v>236</v>
      </c>
    </row>
    <row r="31" spans="1:2" x14ac:dyDescent="0.25">
      <c r="A31" t="s">
        <v>237</v>
      </c>
      <c r="B31" t="s">
        <v>238</v>
      </c>
    </row>
    <row r="32" spans="1:2" x14ac:dyDescent="0.25">
      <c r="A32" t="s">
        <v>239</v>
      </c>
      <c r="B32" t="s">
        <v>240</v>
      </c>
    </row>
    <row r="33" spans="1:2" x14ac:dyDescent="0.25">
      <c r="A33" t="s">
        <v>241</v>
      </c>
      <c r="B33" t="s">
        <v>242</v>
      </c>
    </row>
    <row r="34" spans="1:2" x14ac:dyDescent="0.25">
      <c r="A34" t="s">
        <v>243</v>
      </c>
      <c r="B34" t="s">
        <v>244</v>
      </c>
    </row>
    <row r="35" spans="1:2" x14ac:dyDescent="0.25">
      <c r="A35" t="s">
        <v>245</v>
      </c>
      <c r="B35" t="s">
        <v>246</v>
      </c>
    </row>
    <row r="36" spans="1:2" x14ac:dyDescent="0.25">
      <c r="A36" t="s">
        <v>247</v>
      </c>
      <c r="B36" t="s">
        <v>248</v>
      </c>
    </row>
    <row r="37" spans="1:2" x14ac:dyDescent="0.25">
      <c r="A37" t="s">
        <v>249</v>
      </c>
      <c r="B37" t="s">
        <v>250</v>
      </c>
    </row>
    <row r="38" spans="1:2" x14ac:dyDescent="0.25">
      <c r="A38" t="s">
        <v>251</v>
      </c>
      <c r="B38" t="s">
        <v>252</v>
      </c>
    </row>
    <row r="39" spans="1:2" x14ac:dyDescent="0.25">
      <c r="A39" t="s">
        <v>253</v>
      </c>
      <c r="B39" t="s">
        <v>254</v>
      </c>
    </row>
    <row r="40" spans="1:2" x14ac:dyDescent="0.25">
      <c r="A40" t="s">
        <v>255</v>
      </c>
      <c r="B40" t="s">
        <v>256</v>
      </c>
    </row>
    <row r="41" spans="1:2" x14ac:dyDescent="0.25">
      <c r="A41" t="s">
        <v>257</v>
      </c>
      <c r="B41" t="s">
        <v>258</v>
      </c>
    </row>
    <row r="42" spans="1:2" x14ac:dyDescent="0.25">
      <c r="A42" t="s">
        <v>259</v>
      </c>
      <c r="B42" t="s">
        <v>260</v>
      </c>
    </row>
    <row r="43" spans="1:2" x14ac:dyDescent="0.25">
      <c r="A43" t="s">
        <v>261</v>
      </c>
      <c r="B43" t="s">
        <v>262</v>
      </c>
    </row>
    <row r="44" spans="1:2" x14ac:dyDescent="0.25">
      <c r="A44" t="s">
        <v>263</v>
      </c>
      <c r="B44" t="s">
        <v>264</v>
      </c>
    </row>
    <row r="45" spans="1:2" x14ac:dyDescent="0.25">
      <c r="A45" t="s">
        <v>265</v>
      </c>
      <c r="B45" t="s">
        <v>266</v>
      </c>
    </row>
    <row r="46" spans="1:2" x14ac:dyDescent="0.25">
      <c r="A46" t="s">
        <v>267</v>
      </c>
      <c r="B46" t="s">
        <v>268</v>
      </c>
    </row>
    <row r="47" spans="1:2" x14ac:dyDescent="0.25">
      <c r="A47" t="s">
        <v>269</v>
      </c>
      <c r="B47" t="s">
        <v>270</v>
      </c>
    </row>
    <row r="48" spans="1:2" x14ac:dyDescent="0.25">
      <c r="A48" t="s">
        <v>271</v>
      </c>
      <c r="B48" t="s">
        <v>272</v>
      </c>
    </row>
    <row r="49" spans="1:2" x14ac:dyDescent="0.25">
      <c r="A49" t="s">
        <v>273</v>
      </c>
      <c r="B49" t="s">
        <v>274</v>
      </c>
    </row>
    <row r="50" spans="1:2" x14ac:dyDescent="0.25">
      <c r="A50" t="s">
        <v>275</v>
      </c>
      <c r="B50" t="s">
        <v>276</v>
      </c>
    </row>
    <row r="51" spans="1:2" x14ac:dyDescent="0.25">
      <c r="A51" t="s">
        <v>277</v>
      </c>
      <c r="B51" t="s">
        <v>278</v>
      </c>
    </row>
    <row r="52" spans="1:2" x14ac:dyDescent="0.25">
      <c r="A52" t="s">
        <v>279</v>
      </c>
      <c r="B52" t="s">
        <v>280</v>
      </c>
    </row>
    <row r="53" spans="1:2" x14ac:dyDescent="0.25">
      <c r="A53" t="s">
        <v>281</v>
      </c>
      <c r="B53" t="s">
        <v>282</v>
      </c>
    </row>
    <row r="54" spans="1:2" x14ac:dyDescent="0.25">
      <c r="A54" t="s">
        <v>283</v>
      </c>
      <c r="B54" t="s">
        <v>284</v>
      </c>
    </row>
    <row r="55" spans="1:2" x14ac:dyDescent="0.25">
      <c r="A55" t="s">
        <v>285</v>
      </c>
      <c r="B55" t="s">
        <v>286</v>
      </c>
    </row>
    <row r="56" spans="1:2" x14ac:dyDescent="0.25">
      <c r="A56" t="s">
        <v>287</v>
      </c>
      <c r="B56" t="s">
        <v>288</v>
      </c>
    </row>
    <row r="57" spans="1:2" x14ac:dyDescent="0.25">
      <c r="A57" t="s">
        <v>533</v>
      </c>
      <c r="B57" t="s">
        <v>534</v>
      </c>
    </row>
    <row r="58" spans="1:2" x14ac:dyDescent="0.25">
      <c r="A58" t="s">
        <v>289</v>
      </c>
      <c r="B58" t="s">
        <v>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4CB6-EB7F-4D6F-A876-DA2185CBB06E}">
  <dimension ref="A1:B17"/>
  <sheetViews>
    <sheetView workbookViewId="0">
      <selection activeCell="B19" sqref="B19"/>
    </sheetView>
  </sheetViews>
  <sheetFormatPr defaultRowHeight="15" x14ac:dyDescent="0.25"/>
  <cols>
    <col min="1" max="1" width="12.5703125" bestFit="1" customWidth="1"/>
    <col min="2" max="2" width="56.42578125" bestFit="1" customWidth="1"/>
  </cols>
  <sheetData>
    <row r="1" spans="1:2" x14ac:dyDescent="0.25">
      <c r="A1" s="3" t="s">
        <v>174</v>
      </c>
      <c r="B1" s="3" t="s">
        <v>175</v>
      </c>
    </row>
    <row r="2" spans="1:2" x14ac:dyDescent="0.25">
      <c r="A2" t="s">
        <v>142</v>
      </c>
      <c r="B2" t="s">
        <v>143</v>
      </c>
    </row>
    <row r="3" spans="1:2" x14ac:dyDescent="0.25">
      <c r="A3" t="s">
        <v>144</v>
      </c>
      <c r="B3" t="s">
        <v>145</v>
      </c>
    </row>
    <row r="4" spans="1:2" x14ac:dyDescent="0.25">
      <c r="A4" t="s">
        <v>146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152</v>
      </c>
      <c r="B7" t="s">
        <v>153</v>
      </c>
    </row>
    <row r="8" spans="1:2" x14ac:dyDescent="0.25">
      <c r="A8" t="s">
        <v>154</v>
      </c>
      <c r="B8" t="s">
        <v>155</v>
      </c>
    </row>
    <row r="9" spans="1:2" x14ac:dyDescent="0.25">
      <c r="A9" t="s">
        <v>156</v>
      </c>
      <c r="B9" t="s">
        <v>157</v>
      </c>
    </row>
    <row r="10" spans="1:2" x14ac:dyDescent="0.25">
      <c r="A10" t="s">
        <v>158</v>
      </c>
      <c r="B10" t="s">
        <v>159</v>
      </c>
    </row>
    <row r="11" spans="1:2" x14ac:dyDescent="0.25">
      <c r="A11" t="s">
        <v>160</v>
      </c>
      <c r="B11" t="s">
        <v>161</v>
      </c>
    </row>
    <row r="12" spans="1:2" x14ac:dyDescent="0.25">
      <c r="A12" t="s">
        <v>162</v>
      </c>
      <c r="B12" t="s">
        <v>163</v>
      </c>
    </row>
    <row r="13" spans="1:2" x14ac:dyDescent="0.25">
      <c r="A13" t="s">
        <v>164</v>
      </c>
      <c r="B13" t="s">
        <v>165</v>
      </c>
    </row>
    <row r="14" spans="1:2" x14ac:dyDescent="0.25">
      <c r="A14" t="s">
        <v>166</v>
      </c>
      <c r="B14" t="s">
        <v>167</v>
      </c>
    </row>
    <row r="15" spans="1:2" x14ac:dyDescent="0.25">
      <c r="A15" t="s">
        <v>168</v>
      </c>
      <c r="B15" t="s">
        <v>169</v>
      </c>
    </row>
    <row r="16" spans="1:2" x14ac:dyDescent="0.25">
      <c r="A16" t="s">
        <v>170</v>
      </c>
      <c r="B16" t="s">
        <v>171</v>
      </c>
    </row>
    <row r="17" spans="1:2" x14ac:dyDescent="0.25">
      <c r="A17" t="s">
        <v>172</v>
      </c>
      <c r="B17" t="s">
        <v>173</v>
      </c>
    </row>
  </sheetData>
  <hyperlinks>
    <hyperlink ref="B3" r:id="rId1" display="https://www.cas.org/support/documentation/chemical-substances/cas-rn-verified-partner-program" xr:uid="{EBF22B5A-9DF1-4A3D-AF4B-0FEE443876CB}"/>
    <hyperlink ref="B5" r:id="rId2" display="https://hero.epa.gov/hero/index.cfm/search/index" xr:uid="{071497D2-EB41-46C6-AAFD-76C34AD40A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toxvaldb</vt:lpstr>
      <vt:lpstr>cancer_summary</vt:lpstr>
      <vt:lpstr>genetox_details</vt:lpstr>
      <vt:lpstr>genetox_summary</vt:lpstr>
      <vt:lpstr>skin_eye</vt:lpstr>
      <vt:lpstr>r_record_source</vt:lpstr>
      <vt:lpstr>species</vt:lpstr>
      <vt:lpstr>ToxVal Type Acronyms</vt:lpstr>
      <vt:lpstr>General 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Wall, Taylor (he/him/his)</dc:creator>
  <cp:lastModifiedBy>Wall, Taylor</cp:lastModifiedBy>
  <dcterms:created xsi:type="dcterms:W3CDTF">2024-09-04T18:58:51Z</dcterms:created>
  <dcterms:modified xsi:type="dcterms:W3CDTF">2025-09-23T17:13:41Z</dcterms:modified>
</cp:coreProperties>
</file>